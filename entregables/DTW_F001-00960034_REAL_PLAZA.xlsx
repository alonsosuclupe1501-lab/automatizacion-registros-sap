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threadedComments/threadedComment2.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superpetpe.sharepoint.com/sites/Finanzas/Documentos compartidos/Finanzas - Perú/Contabilidad/Contabilidad SP - 2026/Plantillas cargas automaticas HANNA/"/>
    </mc:Choice>
  </mc:AlternateContent>
  <xr:revisionPtr revIDLastSave="48" documentId="13_ncr:1_{A9DDFE81-DD6A-457E-8287-12026D526478}" xr6:coauthVersionLast="47" xr6:coauthVersionMax="47" xr10:uidLastSave="{358CEF48-AF47-4E52-9628-C10FDE27716A}"/>
  <bookViews>
    <workbookView xWindow="-110" yWindow="-110" windowWidth="19420" windowHeight="10300" tabRatio="739" activeTab="1" xr2:uid="{00000000-000D-0000-FFFF-FFFF00000000}"/>
  </bookViews>
  <sheets>
    <sheet name="Cabecera Sin RIGV" sheetId="19" r:id="rId1"/>
    <sheet name="Detalle Sin RIGV" sheetId="20" r:id="rId2"/>
    <sheet name="Cabecera RIGV" sheetId="16" r:id="rId3"/>
    <sheet name="Detalle RIGV" sheetId="17" r:id="rId4"/>
    <sheet name="RIGV" sheetId="18" r:id="rId5"/>
    <sheet name="Tipo de DoC" sheetId="14" r:id="rId6"/>
    <sheet name="Tipo de dTX" sheetId="15" r:id="rId7"/>
  </sheets>
  <definedNames>
    <definedName name="_xlnm._FilterDatabase" localSheetId="2" hidden="1">'Cabecera RIGV'!$A$1:$R$3</definedName>
    <definedName name="_xlnm._FilterDatabase" localSheetId="0" hidden="1">'Cabecera Sin RIGV'!$A$1:$R$3</definedName>
    <definedName name="_xlnm._FilterDatabase" localSheetId="3" hidden="1">'Detalle RIGV'!$A$2:$F$3</definedName>
    <definedName name="_xlnm._FilterDatabase" localSheetId="1" hidden="1">'Detalle Sin RIGV'!$A$2:$F$3</definedName>
    <definedName name="DATO">#REF!</definedName>
    <definedName name="registr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16"/>
  <c r="Q4" i="16"/>
  <c r="Q5" i="16"/>
  <c r="Q6" i="16"/>
  <c r="Q7" i="16"/>
  <c r="P8" i="16"/>
  <c r="O8" i="16"/>
  <c r="O5" i="16"/>
  <c r="O6" i="16"/>
  <c r="O7" i="16"/>
  <c r="P7" i="16"/>
  <c r="P6" i="16"/>
  <c r="P5" i="16"/>
  <c r="P4" i="16"/>
  <c r="O4" i="16"/>
  <c r="Q3" i="16"/>
  <c r="P3" i="16"/>
  <c r="O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tc={1E846617-CC3E-4152-8A3C-6D68FF763BFA}</author>
    <author>Christian</author>
  </authors>
  <commentList>
    <comment ref="A1" authorId="0" shapeId="0" xr:uid="{8772D229-D233-420D-BB7B-FACF8C8C08BE}">
      <text>
        <r>
          <rPr>
            <b/>
            <sz val="8"/>
            <color indexed="81"/>
            <rFont val="Tahoma"/>
            <family val="2"/>
          </rPr>
          <t>Description: Document Number_x000D_
Type: string_x000D_
Field Length: 11_x000D_
This field is mandatory</t>
        </r>
      </text>
    </comment>
    <comment ref="R1" authorId="0" shapeId="0" xr:uid="{9920ADDB-3F2E-4DD6-A6CB-432868189A0F}">
      <text>
        <r>
          <rPr>
            <b/>
            <sz val="8"/>
            <color indexed="8"/>
            <rFont val="Tahoma"/>
            <family val="2"/>
          </rPr>
          <t>Description: Control Account</t>
        </r>
        <r>
          <rPr>
            <b/>
            <sz val="8"/>
            <color indexed="8"/>
            <rFont val="Tahoma"/>
            <family val="2"/>
          </rPr>
          <t xml:space="preserve">
Type: string</t>
        </r>
        <r>
          <rPr>
            <b/>
            <sz val="8"/>
            <color indexed="8"/>
            <rFont val="Tahoma"/>
            <family val="2"/>
          </rPr>
          <t xml:space="preserve">
Field Length: 15</t>
        </r>
        <r>
          <rPr>
            <b/>
            <sz val="8"/>
            <color indexed="8"/>
            <rFont val="Tahoma"/>
            <family val="2"/>
          </rPr>
          <t xml:space="preserve">
Related Table: OACT</t>
        </r>
        <r>
          <rPr>
            <b/>
            <sz val="8"/>
            <color indexed="8"/>
            <rFont val="Tahoma"/>
            <family val="2"/>
          </rPr>
          <t xml:space="preserve">
</t>
        </r>
      </text>
    </comment>
    <comment ref="S1" authorId="1" shapeId="0" xr:uid="{1E846617-CC3E-4152-8A3C-6D68FF763BFA}">
      <text>
        <t>[Comentario encadenado]
Su versión de Excel le permite leer este comentario encadenado; sin embargo, las ediciones que se apliquen se quitarán si el archivo se abre en una versión más reciente de Excel. Más información: https://go.microsoft.com/fwlink/?linkid=870924
Comentario:
    Proveedor final a Pagar</t>
      </text>
    </comment>
    <comment ref="A2" authorId="0" shapeId="0" xr:uid="{E626D0C2-75CD-4C00-ACA2-9AB3577A9366}">
      <text>
        <r>
          <rPr>
            <b/>
            <sz val="8"/>
            <color indexed="81"/>
            <rFont val="Tahoma"/>
            <family val="2"/>
          </rPr>
          <t>Es la llave del documento entre la cabecera y su detalle</t>
        </r>
      </text>
    </comment>
    <comment ref="C2" authorId="2" shapeId="0" xr:uid="{E84A09DF-059E-4FF6-B4B0-3C8D240C2486}">
      <text>
        <r>
          <rPr>
            <b/>
            <sz val="9"/>
            <color indexed="81"/>
            <rFont val="Tahoma"/>
            <family val="2"/>
          </rPr>
          <t>Christian:</t>
        </r>
        <r>
          <rPr>
            <sz val="9"/>
            <color indexed="81"/>
            <rFont val="Tahoma"/>
            <family val="2"/>
          </rPr>
          <t xml:space="preserve">
S/ - Soles
US$ - Dolares
GBP - Libras Esterlinas
EUR - Euro</t>
        </r>
      </text>
    </comment>
    <comment ref="E2" authorId="2" shapeId="0" xr:uid="{02564A53-9B6D-4419-82E2-C14321D90CDE}">
      <text>
        <r>
          <rPr>
            <b/>
            <sz val="9"/>
            <color indexed="81"/>
            <rFont val="Tahoma"/>
            <family val="2"/>
          </rPr>
          <t>Christian:</t>
        </r>
        <r>
          <rPr>
            <sz val="9"/>
            <color indexed="81"/>
            <rFont val="Tahoma"/>
            <family val="2"/>
          </rPr>
          <t xml:space="preserve">
yyyymmdd</t>
        </r>
      </text>
    </comment>
    <comment ref="H2" authorId="2" shapeId="0" xr:uid="{0D9AC272-D6AF-41E9-9083-A4F13BC3CF19}">
      <text>
        <r>
          <rPr>
            <b/>
            <sz val="9"/>
            <color indexed="81"/>
            <rFont val="Tahoma"/>
            <family val="2"/>
          </rPr>
          <t>Christian:</t>
        </r>
        <r>
          <rPr>
            <sz val="9"/>
            <color indexed="81"/>
            <rFont val="Tahoma"/>
            <family val="2"/>
          </rPr>
          <t xml:space="preserve">
Siempre dDocument_Service</t>
        </r>
      </text>
    </comment>
    <comment ref="L2" authorId="0" shapeId="0" xr:uid="{F5CB46AD-88CB-436C-8DF3-1FA2EBD543C2}">
      <text>
        <r>
          <rPr>
            <b/>
            <sz val="9"/>
            <color indexed="81"/>
            <rFont val="Tahoma"/>
            <family val="2"/>
          </rPr>
          <t>Author:
Para clientes</t>
        </r>
        <r>
          <rPr>
            <sz val="9"/>
            <color indexed="81"/>
            <rFont val="Tahoma"/>
            <family val="2"/>
          </rPr>
          <t xml:space="preserve">
01 - FACTURA
03 - BOLETA
Para proveedores
01  facturas
02 recibos x honorarios
etc</t>
        </r>
      </text>
    </comment>
    <comment ref="M2" authorId="0" shapeId="0" xr:uid="{35985493-C926-442C-8A5C-E80CF7B80BEF}">
      <text>
        <r>
          <rPr>
            <b/>
            <sz val="9"/>
            <color indexed="81"/>
            <rFont val="Tahoma"/>
            <family val="2"/>
          </rPr>
          <t>Serie del documento y si es en blanco colocar "000"</t>
        </r>
        <r>
          <rPr>
            <sz val="9"/>
            <color indexed="81"/>
            <rFont val="Tahoma"/>
            <family val="2"/>
          </rPr>
          <t xml:space="preserve">
</t>
        </r>
      </text>
    </comment>
    <comment ref="N2" authorId="0" shapeId="0" xr:uid="{A2AE0827-1897-4E03-B9E5-452D22D04D5E}">
      <text>
        <r>
          <rPr>
            <b/>
            <sz val="9"/>
            <color indexed="81"/>
            <rFont val="Tahoma"/>
            <family val="2"/>
          </rPr>
          <t>Correlativo del documento</t>
        </r>
        <r>
          <rPr>
            <sz val="9"/>
            <color indexed="81"/>
            <rFont val="Tahoma"/>
            <family val="2"/>
          </rPr>
          <t xml:space="preserve">
</t>
        </r>
      </text>
    </comment>
    <comment ref="O2" authorId="0" shapeId="0" xr:uid="{710456BB-E948-480A-B6C4-3362AEC80280}">
      <text>
        <r>
          <rPr>
            <b/>
            <sz val="9"/>
            <color indexed="81"/>
            <rFont val="Tahoma"/>
            <family val="2"/>
          </rPr>
          <t>colocar tipo doc + serie + correlativo</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Zhao, Peggy</author>
    <author>Christian</author>
  </authors>
  <commentList>
    <comment ref="E1" authorId="0" shapeId="0" xr:uid="{759AF696-4D6F-4733-AA0A-F65E034603F8}">
      <text>
        <r>
          <rPr>
            <sz val="9"/>
            <color indexed="81"/>
            <rFont val="Tahoma"/>
            <family val="2"/>
          </rPr>
          <t xml:space="preserve">Saldo de la Factura. El monto se ingresa según la moneda.
</t>
        </r>
        <r>
          <rPr>
            <b/>
            <sz val="9"/>
            <color indexed="81"/>
            <rFont val="Tahoma"/>
            <family val="2"/>
          </rPr>
          <t xml:space="preserve">DETRACCIONES: </t>
        </r>
        <r>
          <rPr>
            <sz val="9"/>
            <color indexed="81"/>
            <rFont val="Tahoma"/>
            <family val="2"/>
          </rPr>
          <t xml:space="preserve">En el caso de los documentos con detraccion va el monto pendiente de pago que no corresponde a la detraccion en su moneda de origen
</t>
        </r>
      </text>
    </comment>
    <comment ref="G1" authorId="1" shapeId="0" xr:uid="{09BC0CDD-74E2-4104-898C-AB0CCAB968F4}">
      <text>
        <r>
          <rPr>
            <b/>
            <sz val="8"/>
            <color indexed="81"/>
            <rFont val="Tahoma"/>
            <family val="2"/>
          </rPr>
          <t xml:space="preserve">Description: Distribution Rule_x000D_
Type: string_x000D_
Field Length: 8_x000D_
Related Table: OOCR_x000D_
</t>
        </r>
      </text>
    </comment>
    <comment ref="H1" authorId="1" shapeId="0" xr:uid="{B031214B-1AD8-4AD6-80EC-F4A8873D8A70}">
      <text>
        <r>
          <rPr>
            <b/>
            <sz val="8"/>
            <color indexed="81"/>
            <rFont val="Tahoma"/>
            <family val="2"/>
          </rPr>
          <t xml:space="preserve">Description: Withholding Tax Liable_x000D_
Type: string_x000D_
Field Length: 1_x000D_
Para los documentos con detraccion va con N
Para los demas documentos con Y
</t>
        </r>
      </text>
    </comment>
    <comment ref="A2" authorId="0" shapeId="0" xr:uid="{555771CE-2124-4B9D-95E2-1A517BBAE89C}">
      <text>
        <r>
          <rPr>
            <b/>
            <sz val="8"/>
            <color indexed="81"/>
            <rFont val="Tahoma"/>
            <family val="2"/>
          </rPr>
          <t>Correlativo por cada documento</t>
        </r>
      </text>
    </comment>
    <comment ref="B2" authorId="2" shapeId="0" xr:uid="{07782BD2-AD49-41F2-BD98-4606AF83382D}">
      <text>
        <r>
          <rPr>
            <b/>
            <sz val="9"/>
            <color indexed="81"/>
            <rFont val="Tahoma"/>
            <family val="2"/>
          </rPr>
          <t>Christian:</t>
        </r>
        <r>
          <rPr>
            <sz val="9"/>
            <color indexed="81"/>
            <rFont val="Tahoma"/>
            <family val="2"/>
          </rPr>
          <t xml:space="preserve">
Siempre 0</t>
        </r>
      </text>
    </comment>
    <comment ref="C2" authorId="0" shapeId="0" xr:uid="{5DF01202-C379-405A-AAE9-B891F100D6E9}">
      <text>
        <r>
          <rPr>
            <b/>
            <sz val="9"/>
            <color indexed="81"/>
            <rFont val="Tahoma"/>
            <family val="2"/>
          </rPr>
          <t>Cuenta de contrapartida de la 12 o 42 que es una cuenta de saldos iniciales (clase 0)
Siempre 00000002</t>
        </r>
        <r>
          <rPr>
            <sz val="9"/>
            <color indexed="81"/>
            <rFont val="Tahoma"/>
            <family val="2"/>
          </rPr>
          <t xml:space="preserve">
</t>
        </r>
      </text>
    </comment>
    <comment ref="D2" authorId="0" shapeId="0" xr:uid="{20C5E565-932A-49A6-824C-A0867530248C}">
      <text>
        <r>
          <rPr>
            <b/>
            <sz val="9"/>
            <color indexed="81"/>
            <rFont val="Tahoma"/>
            <family val="2"/>
          </rPr>
          <t>Colocar alguna glosa del documento a cargar</t>
        </r>
        <r>
          <rPr>
            <sz val="9"/>
            <color indexed="81"/>
            <rFont val="Tahoma"/>
            <family val="2"/>
          </rPr>
          <t xml:space="preserve">
</t>
        </r>
      </text>
    </comment>
    <comment ref="F2" authorId="2" shapeId="0" xr:uid="{E25FC58C-808C-443E-BF10-76B9BAE3441B}">
      <text>
        <r>
          <rPr>
            <b/>
            <sz val="9"/>
            <color indexed="81"/>
            <rFont val="Tahoma"/>
            <family val="2"/>
          </rPr>
          <t>Christian:</t>
        </r>
        <r>
          <rPr>
            <sz val="9"/>
            <color indexed="81"/>
            <rFont val="Tahoma"/>
            <family val="2"/>
          </rPr>
          <t xml:space="preserve">
Siempre IGV_EXE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tc={68D3B7C5-BBAD-4DED-8C69-3FC92720F7A8}</author>
    <author>Christian</author>
  </authors>
  <commentList>
    <comment ref="A1" authorId="0" shapeId="0" xr:uid="{4594A989-8108-4445-98CF-8333BE670B2D}">
      <text>
        <r>
          <rPr>
            <b/>
            <sz val="8"/>
            <color indexed="81"/>
            <rFont val="Tahoma"/>
            <family val="2"/>
          </rPr>
          <t>Description: Document Number_x000D_
Type: string_x000D_
Field Length: 11_x000D_
This field is mandatory</t>
        </r>
      </text>
    </comment>
    <comment ref="R1" authorId="0" shapeId="0" xr:uid="{1EAB5C3B-39E7-48CC-A5BD-D17749A636DD}">
      <text>
        <r>
          <rPr>
            <b/>
            <sz val="8"/>
            <color indexed="8"/>
            <rFont val="Tahoma"/>
            <family val="2"/>
          </rPr>
          <t>Description: Control Account</t>
        </r>
        <r>
          <rPr>
            <b/>
            <sz val="8"/>
            <color indexed="8"/>
            <rFont val="Tahoma"/>
            <family val="2"/>
          </rPr>
          <t xml:space="preserve">
Type: string</t>
        </r>
        <r>
          <rPr>
            <b/>
            <sz val="8"/>
            <color indexed="8"/>
            <rFont val="Tahoma"/>
            <family val="2"/>
          </rPr>
          <t xml:space="preserve">
Field Length: 15</t>
        </r>
        <r>
          <rPr>
            <b/>
            <sz val="8"/>
            <color indexed="8"/>
            <rFont val="Tahoma"/>
            <family val="2"/>
          </rPr>
          <t xml:space="preserve">
Related Table: OACT</t>
        </r>
        <r>
          <rPr>
            <b/>
            <sz val="8"/>
            <color indexed="8"/>
            <rFont val="Tahoma"/>
            <family val="2"/>
          </rPr>
          <t xml:space="preserve">
</t>
        </r>
      </text>
    </comment>
    <comment ref="S1" authorId="1" shapeId="0" xr:uid="{68D3B7C5-BBAD-4DED-8C69-3FC92720F7A8}">
      <text>
        <t>[Comentario encadenado]
Su versión de Excel le permite leer este comentario encadenado; sin embargo, las ediciones que se apliquen se quitarán si el archivo se abre en una versión más reciente de Excel. Más información: https://go.microsoft.com/fwlink/?linkid=870924
Comentario:
    Proveedor final a Pagar</t>
      </text>
    </comment>
    <comment ref="A2" authorId="0" shapeId="0" xr:uid="{811AF477-097F-47EA-A4B6-8DE9AD5CEC45}">
      <text>
        <r>
          <rPr>
            <b/>
            <sz val="8"/>
            <color indexed="81"/>
            <rFont val="Tahoma"/>
            <family val="2"/>
          </rPr>
          <t>Es la llave del documento entre la cabecera y su detalle</t>
        </r>
      </text>
    </comment>
    <comment ref="C2" authorId="2" shapeId="0" xr:uid="{F12F0271-D580-476F-A537-F40361A76B77}">
      <text>
        <r>
          <rPr>
            <b/>
            <sz val="9"/>
            <color indexed="81"/>
            <rFont val="Tahoma"/>
            <family val="2"/>
          </rPr>
          <t>Christian:</t>
        </r>
        <r>
          <rPr>
            <sz val="9"/>
            <color indexed="81"/>
            <rFont val="Tahoma"/>
            <family val="2"/>
          </rPr>
          <t xml:space="preserve">
S/ - Soles
US$ - Dolares
GBP - Libras Esterlinas
EUR - Euro</t>
        </r>
      </text>
    </comment>
    <comment ref="E2" authorId="2" shapeId="0" xr:uid="{912DD716-0C2A-4164-AB72-048E0A830DD8}">
      <text>
        <r>
          <rPr>
            <b/>
            <sz val="9"/>
            <color indexed="81"/>
            <rFont val="Tahoma"/>
            <family val="2"/>
          </rPr>
          <t>Christian:</t>
        </r>
        <r>
          <rPr>
            <sz val="9"/>
            <color indexed="81"/>
            <rFont val="Tahoma"/>
            <family val="2"/>
          </rPr>
          <t xml:space="preserve">
yyyymmdd</t>
        </r>
      </text>
    </comment>
    <comment ref="H2" authorId="2" shapeId="0" xr:uid="{95E2A177-CAB2-4E14-8A61-BC91B01EB78C}">
      <text>
        <r>
          <rPr>
            <b/>
            <sz val="9"/>
            <color indexed="81"/>
            <rFont val="Tahoma"/>
            <family val="2"/>
          </rPr>
          <t>Christian:</t>
        </r>
        <r>
          <rPr>
            <sz val="9"/>
            <color indexed="81"/>
            <rFont val="Tahoma"/>
            <family val="2"/>
          </rPr>
          <t xml:space="preserve">
Siempre dDocument_Service</t>
        </r>
      </text>
    </comment>
    <comment ref="L2" authorId="0" shapeId="0" xr:uid="{7C33ED65-321A-4463-9855-3EFCD70C3EF8}">
      <text>
        <r>
          <rPr>
            <b/>
            <sz val="9"/>
            <color indexed="81"/>
            <rFont val="Tahoma"/>
            <family val="2"/>
          </rPr>
          <t>Author:
Para clientes</t>
        </r>
        <r>
          <rPr>
            <sz val="9"/>
            <color indexed="81"/>
            <rFont val="Tahoma"/>
            <family val="2"/>
          </rPr>
          <t xml:space="preserve">
01 - FACTURA
03 - BOLETA
Para proveedores
01  facturas
02 recibos x honorarios
etc</t>
        </r>
      </text>
    </comment>
    <comment ref="M2" authorId="0" shapeId="0" xr:uid="{6A3F1B87-E189-40CB-AA4B-BC5CDACA6A1A}">
      <text>
        <r>
          <rPr>
            <b/>
            <sz val="9"/>
            <color indexed="81"/>
            <rFont val="Tahoma"/>
            <family val="2"/>
          </rPr>
          <t>Serie del documento y si es en blanco colocar "000"</t>
        </r>
        <r>
          <rPr>
            <sz val="9"/>
            <color indexed="81"/>
            <rFont val="Tahoma"/>
            <family val="2"/>
          </rPr>
          <t xml:space="preserve">
</t>
        </r>
      </text>
    </comment>
    <comment ref="N2" authorId="0" shapeId="0" xr:uid="{BD03DE72-2456-460E-8800-67AE9858A6B3}">
      <text>
        <r>
          <rPr>
            <b/>
            <sz val="9"/>
            <color indexed="81"/>
            <rFont val="Tahoma"/>
            <family val="2"/>
          </rPr>
          <t>Correlativo del documento</t>
        </r>
        <r>
          <rPr>
            <sz val="9"/>
            <color indexed="81"/>
            <rFont val="Tahoma"/>
            <family val="2"/>
          </rPr>
          <t xml:space="preserve">
</t>
        </r>
      </text>
    </comment>
    <comment ref="O2" authorId="0" shapeId="0" xr:uid="{7E3A1E6D-196B-451C-9898-AD9EC48174B9}">
      <text>
        <r>
          <rPr>
            <b/>
            <sz val="9"/>
            <color indexed="81"/>
            <rFont val="Tahoma"/>
            <family val="2"/>
          </rPr>
          <t>colocar tipo doc + serie + correlativo</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Zhao, Peggy</author>
    <author>Christian</author>
  </authors>
  <commentList>
    <comment ref="E1" authorId="0" shapeId="0" xr:uid="{7117BBB5-E419-4571-8590-BF7B845531E0}">
      <text>
        <r>
          <rPr>
            <sz val="9"/>
            <color indexed="81"/>
            <rFont val="Tahoma"/>
            <family val="2"/>
          </rPr>
          <t xml:space="preserve">Saldo de la Factura. El monto se ingresa según la moneda.
</t>
        </r>
        <r>
          <rPr>
            <b/>
            <sz val="9"/>
            <color indexed="81"/>
            <rFont val="Tahoma"/>
            <family val="2"/>
          </rPr>
          <t xml:space="preserve">DETRACCIONES: </t>
        </r>
        <r>
          <rPr>
            <sz val="9"/>
            <color indexed="81"/>
            <rFont val="Tahoma"/>
            <family val="2"/>
          </rPr>
          <t xml:space="preserve">En el caso de los documentos con detraccion va el monto pendiente de pago que no corresponde a la detraccion en su moneda de origen
</t>
        </r>
      </text>
    </comment>
    <comment ref="G1" authorId="1" shapeId="0" xr:uid="{8DAF46BE-146A-4D78-A299-C88EAE604C65}">
      <text>
        <r>
          <rPr>
            <b/>
            <sz val="8"/>
            <color indexed="81"/>
            <rFont val="Tahoma"/>
            <family val="2"/>
          </rPr>
          <t xml:space="preserve">Description: Distribution Rule_x000D_
Type: string_x000D_
Field Length: 8_x000D_
Related Table: OOCR_x000D_
</t>
        </r>
      </text>
    </comment>
    <comment ref="H1" authorId="1" shapeId="0" xr:uid="{A1C9480E-55F2-44D0-817C-D94729FFDC78}">
      <text>
        <r>
          <rPr>
            <b/>
            <sz val="8"/>
            <color indexed="81"/>
            <rFont val="Tahoma"/>
            <family val="2"/>
          </rPr>
          <t xml:space="preserve">Description: Withholding Tax Liable_x000D_
Type: string_x000D_
Field Length: 1_x000D_
Para los documentos con detraccion va con N
Para los demas documentos con Y
</t>
        </r>
      </text>
    </comment>
    <comment ref="A2" authorId="0" shapeId="0" xr:uid="{5B64045C-7003-493B-848A-F80AE695A34E}">
      <text>
        <r>
          <rPr>
            <b/>
            <sz val="8"/>
            <color indexed="81"/>
            <rFont val="Tahoma"/>
            <family val="2"/>
          </rPr>
          <t>Correlativo por cada documento</t>
        </r>
      </text>
    </comment>
    <comment ref="B2" authorId="2" shapeId="0" xr:uid="{EA553DD5-B3AE-4525-905E-730D840C24FA}">
      <text>
        <r>
          <rPr>
            <b/>
            <sz val="9"/>
            <color indexed="81"/>
            <rFont val="Tahoma"/>
            <family val="2"/>
          </rPr>
          <t>Christian:</t>
        </r>
        <r>
          <rPr>
            <sz val="9"/>
            <color indexed="81"/>
            <rFont val="Tahoma"/>
            <family val="2"/>
          </rPr>
          <t xml:space="preserve">
Siempre 0</t>
        </r>
      </text>
    </comment>
    <comment ref="C2" authorId="0" shapeId="0" xr:uid="{940C72BC-9188-4763-8A80-8C22C5FBE13E}">
      <text>
        <r>
          <rPr>
            <b/>
            <sz val="9"/>
            <color indexed="81"/>
            <rFont val="Tahoma"/>
            <family val="2"/>
          </rPr>
          <t>Cuenta de contrapartida de la 12 o 42 que es una cuenta de saldos iniciales (clase 0)
Siempre 00000002</t>
        </r>
        <r>
          <rPr>
            <sz val="9"/>
            <color indexed="81"/>
            <rFont val="Tahoma"/>
            <family val="2"/>
          </rPr>
          <t xml:space="preserve">
</t>
        </r>
      </text>
    </comment>
    <comment ref="D2" authorId="0" shapeId="0" xr:uid="{E85B7558-AF64-4FCB-9229-EACFA476B64A}">
      <text>
        <r>
          <rPr>
            <b/>
            <sz val="9"/>
            <color indexed="81"/>
            <rFont val="Tahoma"/>
            <family val="2"/>
          </rPr>
          <t>Colocar alguna glosa del documento a cargar</t>
        </r>
        <r>
          <rPr>
            <sz val="9"/>
            <color indexed="81"/>
            <rFont val="Tahoma"/>
            <family val="2"/>
          </rPr>
          <t xml:space="preserve">
</t>
        </r>
      </text>
    </comment>
    <comment ref="F2" authorId="2" shapeId="0" xr:uid="{DDFA1C52-B030-4AD3-A53F-DDCAA1AFCE6E}">
      <text>
        <r>
          <rPr>
            <b/>
            <sz val="9"/>
            <color indexed="81"/>
            <rFont val="Tahoma"/>
            <family val="2"/>
          </rPr>
          <t>Christian:</t>
        </r>
        <r>
          <rPr>
            <sz val="9"/>
            <color indexed="81"/>
            <rFont val="Tahoma"/>
            <family val="2"/>
          </rPr>
          <t xml:space="preserve">
Siempre IGV_EXE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1" authorId="0" shapeId="0" xr:uid="{A2A6D5B7-2D97-4EFE-BAFE-FA0BED30C470}">
      <text>
        <r>
          <rPr>
            <b/>
            <sz val="8"/>
            <color indexed="81"/>
            <rFont val="Tahoma"/>
            <family val="2"/>
          </rPr>
          <t>It should be an integer which begin with 0 ,it is just for update, keep it empty when import.</t>
        </r>
      </text>
    </comment>
    <comment ref="C1" authorId="0" shapeId="0" xr:uid="{3BBC9A47-6ABC-4CCD-85E2-47EE3A15A75C}">
      <text>
        <r>
          <rPr>
            <b/>
            <sz val="8"/>
            <color indexed="81"/>
            <rFont val="Tahoma"/>
            <family val="2"/>
          </rPr>
          <t xml:space="preserve">Description: WT Code_x000D_
Type: string_x000D_
Field Length: 4_x000D_
Related Table: OWHT_x000D_
</t>
        </r>
      </text>
    </comment>
    <comment ref="A2" authorId="0" shapeId="0" xr:uid="{5DF6D511-ED71-4C13-9D81-476187979C2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<sst xmlns="http://schemas.openxmlformats.org/spreadsheetml/2006/main" count="357" uniqueCount="191">
  <si>
    <t>DocNum</t>
  </si>
  <si>
    <t>CardCode</t>
  </si>
  <si>
    <t>DocCurrency</t>
  </si>
  <si>
    <t>DocRate</t>
  </si>
  <si>
    <t>DocDate</t>
  </si>
  <si>
    <t>DocDueDate</t>
  </si>
  <si>
    <t>TaxDate</t>
  </si>
  <si>
    <t>DocType</t>
  </si>
  <si>
    <t>FederalTaxID</t>
  </si>
  <si>
    <t>JournalMemo</t>
  </si>
  <si>
    <t>Indicator</t>
  </si>
  <si>
    <t>FolioPrefixString</t>
  </si>
  <si>
    <t>FolioNumber</t>
  </si>
  <si>
    <t>NumAtCard</t>
  </si>
  <si>
    <t>ControlAccount</t>
  </si>
  <si>
    <t>U_MSSL_TOP</t>
  </si>
  <si>
    <t>U_MSSL_TBI</t>
  </si>
  <si>
    <t>U_MSSL_ADT</t>
  </si>
  <si>
    <t>U_MSSL_AUD</t>
  </si>
  <si>
    <t>Codigo Proveedor</t>
  </si>
  <si>
    <t>Moneda documento</t>
  </si>
  <si>
    <t>Tipo cambio</t>
  </si>
  <si>
    <t>Fecha Contabilizacion</t>
  </si>
  <si>
    <t>Fecha Vencimiento</t>
  </si>
  <si>
    <t>Fecha Documento</t>
  </si>
  <si>
    <t>Clase de Documento</t>
  </si>
  <si>
    <t>Ruc</t>
  </si>
  <si>
    <t>Comentario pesta¤a finanzas</t>
  </si>
  <si>
    <t>Tipo de Documento</t>
  </si>
  <si>
    <t xml:space="preserve">Serie </t>
  </si>
  <si>
    <t>Correlativo</t>
  </si>
  <si>
    <t>Numero de Factura</t>
  </si>
  <si>
    <t>Cuenta Asociada</t>
  </si>
  <si>
    <t>Tipo de opercion</t>
  </si>
  <si>
    <t>Tipo de base imponible</t>
  </si>
  <si>
    <t>¿Aplica detracción?</t>
  </si>
  <si>
    <t>¿Es auto-detracción?</t>
  </si>
  <si>
    <t>dDocument_Service</t>
  </si>
  <si>
    <t>01</t>
  </si>
  <si>
    <t>02</t>
  </si>
  <si>
    <t>A</t>
  </si>
  <si>
    <t>N</t>
  </si>
  <si>
    <t>022</t>
  </si>
  <si>
    <t>14</t>
  </si>
  <si>
    <t>03</t>
  </si>
  <si>
    <t>ParentKey</t>
  </si>
  <si>
    <t>LineNum</t>
  </si>
  <si>
    <t>AccountCode</t>
  </si>
  <si>
    <t>ItemDescription</t>
  </si>
  <si>
    <t>UnitPrice</t>
  </si>
  <si>
    <t>TaxCode</t>
  </si>
  <si>
    <t>WTLiable</t>
  </si>
  <si>
    <t>Codigo cuenta Pte</t>
  </si>
  <si>
    <t>Descripcion</t>
  </si>
  <si>
    <t>Total documento</t>
  </si>
  <si>
    <t>Tipo impuesto(IGV EXE)</t>
  </si>
  <si>
    <t>Sujeto a retención de impuesto</t>
  </si>
  <si>
    <t>07</t>
  </si>
  <si>
    <t>Tipo Documento</t>
  </si>
  <si>
    <t>Factura</t>
  </si>
  <si>
    <t>Recibo por honorarios</t>
  </si>
  <si>
    <t>Boleta de venta</t>
  </si>
  <si>
    <t>04</t>
  </si>
  <si>
    <t>Liquidacion de compra</t>
  </si>
  <si>
    <t>05</t>
  </si>
  <si>
    <t>Boleto aereo</t>
  </si>
  <si>
    <t>06</t>
  </si>
  <si>
    <t>Carga porte aereo</t>
  </si>
  <si>
    <t>Nota de credito</t>
  </si>
  <si>
    <t>08</t>
  </si>
  <si>
    <t>Nota de debito</t>
  </si>
  <si>
    <t>09</t>
  </si>
  <si>
    <t>Guia de remision</t>
  </si>
  <si>
    <t>10</t>
  </si>
  <si>
    <t>Recibo de arrendamiento</t>
  </si>
  <si>
    <t>11</t>
  </si>
  <si>
    <t>Poliza de bolsa de valores</t>
  </si>
  <si>
    <t>12</t>
  </si>
  <si>
    <t>Ticket de maquina registradora</t>
  </si>
  <si>
    <t>13</t>
  </si>
  <si>
    <t>Documentos de banca y seguros</t>
  </si>
  <si>
    <t>Recibos por servicios publicos</t>
  </si>
  <si>
    <t>15</t>
  </si>
  <si>
    <t>16</t>
  </si>
  <si>
    <t>Boleto de transporte terrestre</t>
  </si>
  <si>
    <t>18</t>
  </si>
  <si>
    <t>Documentos emitidos por AFP y EPS</t>
  </si>
  <si>
    <t>37</t>
  </si>
  <si>
    <t>Revisiones vehiculares</t>
  </si>
  <si>
    <t>50</t>
  </si>
  <si>
    <t>Poliza o DUI</t>
  </si>
  <si>
    <t>54</t>
  </si>
  <si>
    <t>Liquidación de cobranza</t>
  </si>
  <si>
    <t>81</t>
  </si>
  <si>
    <t>Boleta Sunat</t>
  </si>
  <si>
    <t>91</t>
  </si>
  <si>
    <t>Comprobantes de no domiciliados</t>
  </si>
  <si>
    <t>98</t>
  </si>
  <si>
    <t>Reparo Tributario</t>
  </si>
  <si>
    <t>99</t>
  </si>
  <si>
    <t>Otros</t>
  </si>
  <si>
    <t>Codigo</t>
  </si>
  <si>
    <t>Concepto</t>
  </si>
  <si>
    <t>000</t>
  </si>
  <si>
    <t>Ninguno</t>
  </si>
  <si>
    <t>002</t>
  </si>
  <si>
    <t>Arroz Pilado</t>
  </si>
  <si>
    <t>004</t>
  </si>
  <si>
    <t>Recursos Hidrobiológicos</t>
  </si>
  <si>
    <t>005</t>
  </si>
  <si>
    <t>Maíz Amarillo Duro</t>
  </si>
  <si>
    <t>008</t>
  </si>
  <si>
    <t>Madera</t>
  </si>
  <si>
    <t>009</t>
  </si>
  <si>
    <t>Arena y Piedra</t>
  </si>
  <si>
    <t>010</t>
  </si>
  <si>
    <t>Residuos, Subproductos, Desechos, Recortes, Desperdicios y formas primarias derivadas de los mismos</t>
  </si>
  <si>
    <t>012</t>
  </si>
  <si>
    <t>Intermediación Laboral y Tercerización</t>
  </si>
  <si>
    <t>014</t>
  </si>
  <si>
    <t>Carnes y Despojos Comestibles</t>
  </si>
  <si>
    <t>017</t>
  </si>
  <si>
    <t>Harina, Polvo y Pellets de Pescado, Crustáceos, Moluscos y demás invertebrados acuáticos</t>
  </si>
  <si>
    <t>019</t>
  </si>
  <si>
    <t>Arrendamiento de Bienes</t>
  </si>
  <si>
    <t>020</t>
  </si>
  <si>
    <t>Mantenimiento y Reparación de Bienes Muebles</t>
  </si>
  <si>
    <t>021</t>
  </si>
  <si>
    <t>Movimiento de Carga</t>
  </si>
  <si>
    <t>Otros Servicios Empresariales</t>
  </si>
  <si>
    <t>024</t>
  </si>
  <si>
    <t>Comisión Mercantil</t>
  </si>
  <si>
    <t>025</t>
  </si>
  <si>
    <t>Fabricación de Bienes por encargo</t>
  </si>
  <si>
    <t>026</t>
  </si>
  <si>
    <t>Servicio de Transporte Personas</t>
  </si>
  <si>
    <t>027</t>
  </si>
  <si>
    <t>Transporte de Carga</t>
  </si>
  <si>
    <t>030</t>
  </si>
  <si>
    <t>Contratos de Construcción</t>
  </si>
  <si>
    <t>031</t>
  </si>
  <si>
    <t>Oro Gravado con el IGV</t>
  </si>
  <si>
    <t>034</t>
  </si>
  <si>
    <t>Minerales Metálicos no Auríferos</t>
  </si>
  <si>
    <t>035</t>
  </si>
  <si>
    <t>Bienes Exonerados del IGV</t>
  </si>
  <si>
    <t>036</t>
  </si>
  <si>
    <t>Oro y demás mineras metálicos exonerados del IGV</t>
  </si>
  <si>
    <t>037</t>
  </si>
  <si>
    <t>Demás Servicios Gravados con el IGV</t>
  </si>
  <si>
    <t>039</t>
  </si>
  <si>
    <t>Minerales no Metálicos</t>
  </si>
  <si>
    <t>040</t>
  </si>
  <si>
    <t>Bien Inmueble Gravado con el IGV</t>
  </si>
  <si>
    <t>F001</t>
  </si>
  <si>
    <t>IGV_18</t>
  </si>
  <si>
    <t>Centro de Costos</t>
  </si>
  <si>
    <t>SP-SP01</t>
  </si>
  <si>
    <t>SP-SP07</t>
  </si>
  <si>
    <t>SP-SP43</t>
  </si>
  <si>
    <t>SP-SP60</t>
  </si>
  <si>
    <t>CostingCode4</t>
  </si>
  <si>
    <t>U_MSSL_FPC</t>
  </si>
  <si>
    <t>U_MSSL_FNC</t>
  </si>
  <si>
    <t>Comments</t>
  </si>
  <si>
    <t>Comentarios</t>
  </si>
  <si>
    <t>Y</t>
  </si>
  <si>
    <t>WTCode</t>
  </si>
  <si>
    <t>Codigo de Retención</t>
  </si>
  <si>
    <t>RIGV</t>
  </si>
  <si>
    <t>P20606508019</t>
  </si>
  <si>
    <t>U_MSSL_CBS</t>
  </si>
  <si>
    <t>Clasificacion bienes de servicio</t>
  </si>
  <si>
    <t>SP-SP11</t>
  </si>
  <si>
    <t>U_MSSL_CGD</t>
  </si>
  <si>
    <t>SERV. TRANSPORTE 2026.04</t>
  </si>
  <si>
    <t>0000122</t>
  </si>
  <si>
    <t>0000123</t>
  </si>
  <si>
    <t>0000124</t>
  </si>
  <si>
    <t>0000125</t>
  </si>
  <si>
    <t>0000126</t>
  </si>
  <si>
    <t>0000127</t>
  </si>
  <si>
    <t>Rounding</t>
  </si>
  <si>
    <t>RoundingDiffAmount</t>
  </si>
  <si>
    <t>Aplica redondeo</t>
  </si>
  <si>
    <t>Redodeo</t>
  </si>
  <si>
    <t>ProjectCode</t>
  </si>
  <si>
    <t>Grupo detraccion</t>
  </si>
  <si>
    <t>Proyecto</t>
  </si>
  <si>
    <t>FatherCard</t>
  </si>
  <si>
    <t xml:space="preserve">SN  de consolidación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</si>
</sst>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00"/>
    <numFmt numFmtId="166" formatCode="0.00_ ;\-0.00\ "/>
  </numFmts>
  <fonts count="41" x14ac:knownFonts="1">
    <font>
      <sz val="10"/>
      <name val="Arial"/>
    </font>
    <font>
      <sz val="11"/>
      <color theme="1"/>
      <name val="Calibri"/>
      <family val="2"/>
      <scheme val="minor"/>
    </font>
    <font>
      <sz val="10"/>
      <color indexed="9"/>
      <name val="Calibri"/>
      <family val="2"/>
    </font>
    <font>
      <sz val="11"/>
      <color indexed="8"/>
      <name val="Calibri"/>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u/>
      <sz val="9"/>
      <color indexed="9"/>
      <name val="Arial"/>
      <family val="2"/>
    </font>
    <font>
      <sz val="8"/>
      <name val="Arial"/>
      <family val="2"/>
    </font>
    <font>
      <sz val="8"/>
      <color indexed="8"/>
      <name val="Arial"/>
      <family val="2"/>
    </font>
    <font>
      <sz val="10"/>
      <name val="Arial"/>
      <family val="2"/>
    </font>
    <font>
      <b/>
      <sz val="9"/>
      <color indexed="81"/>
      <name val="Tahoma"/>
      <family val="2"/>
    </font>
    <font>
      <sz val="9"/>
      <color indexed="81"/>
      <name val="Tahoma"/>
      <family val="2"/>
    </font>
    <font>
      <b/>
      <sz val="8"/>
      <color indexed="8"/>
      <name val="Tahoma"/>
      <family val="2"/>
    </font>
    <font>
      <b/>
      <sz val="8"/>
      <color indexed="81"/>
      <name val="Tahoma"/>
      <family val="2"/>
    </font>
    <font>
      <b/>
      <sz val="11"/>
      <color indexed="10"/>
      <name val="Calibri"/>
      <family val="2"/>
    </font>
    <font>
      <b/>
      <sz val="11"/>
      <color indexed="62"/>
      <name val="Calibri"/>
      <family val="2"/>
    </font>
    <font>
      <b/>
      <sz val="18"/>
      <color indexed="62"/>
      <name val="Cambria"/>
      <family val="2"/>
    </font>
    <font>
      <b/>
      <sz val="15"/>
      <color indexed="62"/>
      <name val="Calibri"/>
      <family val="2"/>
    </font>
    <font>
      <b/>
      <sz val="13"/>
      <color indexed="62"/>
      <name val="Calibri"/>
      <family val="2"/>
    </font>
    <font>
      <sz val="10"/>
      <color rgb="FF000000"/>
      <name val="Arial"/>
      <family val="2"/>
    </font>
    <font>
      <b/>
      <sz val="9"/>
      <name val="Arial"/>
      <family val="2"/>
    </font>
    <font>
      <sz val="10"/>
      <color theme="0"/>
      <name val="Calibri"/>
      <family val="2"/>
      <scheme val="minor"/>
    </font>
    <font>
      <sz val="10"/>
      <name val="Calibri"/>
      <family val="2"/>
      <scheme val="minor"/>
    </font>
    <font>
      <sz val="10"/>
      <color theme="1"/>
      <name val="Arial"/>
      <family val="2"/>
    </font>
    <font>
      <b/>
      <sz val="10"/>
      <name val="Arial"/>
      <family val="2"/>
    </font>
    <font>
      <b/>
      <u/>
      <sz val="9"/>
      <color theme="1"/>
      <name val="Arial"/>
      <family val="2"/>
    </font>
    <font>
      <sz val="8"/>
      <color theme="1"/>
      <name val="Arial"/>
      <family val="2"/>
    </font>
    <font>
      <b/>
      <sz val="11"/>
      <color theme="1"/>
      <name val="Calibri"/>
      <family val="2"/>
      <scheme val="minor"/>
    </font>
    <font>
      <sz val="11"/>
      <color theme="0"/>
      <name val="Calibri"/>
      <family val="2"/>
      <scheme val="minor"/>
    </font>
    <font>
      <sz val="8"/>
      <name val="Arial"/>
      <family val="2"/>
    </font>
    <font>
      <u/>
      <sz val="10"/>
      <color theme="10"/>
      <name val="Arial"/>
      <family val="2"/>
    </font>
  </fonts>
  <fills count="30">
    <fill>
      <patternFill patternType="none"/>
    </fill>
    <fill>
      <patternFill patternType="gray125"/>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22"/>
      </patternFill>
    </fill>
    <fill>
      <patternFill patternType="solid">
        <fgColor indexed="51"/>
      </patternFill>
    </fill>
    <fill>
      <patternFill patternType="solid">
        <fgColor indexed="43"/>
      </patternFill>
    </fill>
    <fill>
      <patternFill patternType="solid">
        <fgColor indexed="49"/>
      </patternFill>
    </fill>
    <fill>
      <patternFill patternType="solid">
        <fgColor indexed="53"/>
      </patternFill>
    </fill>
    <fill>
      <patternFill patternType="solid">
        <fgColor indexed="10"/>
      </patternFill>
    </fill>
    <fill>
      <patternFill patternType="solid">
        <fgColor indexed="9"/>
      </patternFill>
    </fill>
    <fill>
      <patternFill patternType="solid">
        <fgColor indexed="55"/>
      </patternFill>
    </fill>
    <fill>
      <patternFill patternType="solid">
        <fgColor indexed="56"/>
      </patternFill>
    </fill>
    <fill>
      <patternFill patternType="solid">
        <fgColor indexed="54"/>
      </patternFill>
    </fill>
    <fill>
      <patternFill patternType="solid">
        <fgColor indexed="22"/>
        <bgColor indexed="64"/>
      </patternFill>
    </fill>
    <fill>
      <patternFill patternType="solid">
        <fgColor indexed="22"/>
        <bgColor indexed="22"/>
      </patternFill>
    </fill>
    <fill>
      <patternFill patternType="solid">
        <fgColor indexed="11"/>
        <bgColor indexed="64"/>
      </patternFill>
    </fill>
    <fill>
      <patternFill patternType="solid">
        <fgColor theme="4"/>
        <bgColor indexed="64"/>
      </patternFill>
    </fill>
    <fill>
      <patternFill patternType="solid">
        <fgColor theme="0" tint="-0.249977111117893"/>
        <bgColor indexed="64"/>
      </patternFill>
    </fill>
    <fill>
      <patternFill patternType="solid">
        <fgColor rgb="FFFFFF00"/>
        <bgColor indexed="64"/>
      </patternFill>
    </fill>
    <fill>
      <patternFill patternType="solid">
        <fgColor indexed="23"/>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FF00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2"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19" fillId="0" borderId="0"/>
    <xf numFmtId="0" fontId="4" fillId="5"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24" fillId="16" borderId="1" applyNumberFormat="0" applyAlignment="0" applyProtection="0"/>
    <xf numFmtId="0" fontId="6" fillId="17" borderId="2" applyNumberFormat="0" applyAlignment="0" applyProtection="0"/>
    <xf numFmtId="164" fontId="3" fillId="0" borderId="0" applyFont="0" applyFill="0" applyBorder="0" applyAlignment="0" applyProtection="0"/>
    <xf numFmtId="0" fontId="4" fillId="18"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9"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8" fillId="3" borderId="0" applyNumberFormat="0" applyBorder="0" applyAlignment="0" applyProtection="0"/>
    <xf numFmtId="0" fontId="9" fillId="0" borderId="0" applyNumberFormat="0" applyFill="0" applyBorder="0" applyAlignment="0" applyProtection="0"/>
    <xf numFmtId="0" fontId="5" fillId="4" borderId="0" applyNumberFormat="0" applyBorder="0" applyAlignment="0" applyProtection="0"/>
    <xf numFmtId="0" fontId="10" fillId="6" borderId="1" applyNumberFormat="0" applyAlignment="0" applyProtection="0"/>
    <xf numFmtId="0" fontId="11" fillId="0" borderId="3" applyNumberFormat="0" applyFill="0" applyAlignment="0" applyProtection="0"/>
    <xf numFmtId="0" fontId="12" fillId="12" borderId="0" applyNumberFormat="0" applyBorder="0" applyAlignment="0" applyProtection="0"/>
    <xf numFmtId="0" fontId="3" fillId="0" borderId="0"/>
    <xf numFmtId="0" fontId="3" fillId="9" borderId="4" applyNumberFormat="0" applyFont="0" applyAlignment="0" applyProtection="0"/>
    <xf numFmtId="0" fontId="13" fillId="16" borderId="5" applyNumberFormat="0" applyAlignment="0" applyProtection="0"/>
    <xf numFmtId="0" fontId="7" fillId="0" borderId="0" applyNumberFormat="0" applyFill="0" applyBorder="0" applyAlignment="0" applyProtection="0"/>
    <xf numFmtId="0" fontId="26" fillId="0" borderId="0" applyNumberFormat="0" applyFill="0" applyBorder="0" applyAlignment="0" applyProtection="0"/>
    <xf numFmtId="0" fontId="27" fillId="0" borderId="6" applyNumberFormat="0" applyFill="0" applyAlignment="0" applyProtection="0"/>
    <xf numFmtId="0" fontId="28" fillId="0" borderId="7" applyNumberFormat="0" applyFill="0" applyAlignment="0" applyProtection="0"/>
    <xf numFmtId="0" fontId="25" fillId="0" borderId="8" applyNumberFormat="0" applyFill="0" applyAlignment="0" applyProtection="0"/>
    <xf numFmtId="0" fontId="14" fillId="0" borderId="9" applyNumberFormat="0" applyFill="0" applyAlignment="0" applyProtection="0"/>
    <xf numFmtId="0" fontId="15" fillId="0" borderId="0" applyNumberFormat="0" applyFill="0" applyBorder="0" applyAlignment="0" applyProtection="0"/>
    <xf numFmtId="0" fontId="1" fillId="0" borderId="0"/>
    <xf numFmtId="0" fontId="40" fillId="0" borderId="0" applyNumberFormat="0" applyFill="0" applyBorder="0" applyAlignment="0" applyProtection="0"/>
  </cellStyleXfs>
  <cellXfs count="61">
    <xf numFmtId="0" fontId="0" fillId="0" borderId="0" xfId="0"/>
    <xf numFmtId="166" fontId="19" fillId="0" borderId="0" xfId="22" applyNumberFormat="1" applyFont="1"/>
    <xf numFmtId="0" fontId="18" fillId="21" borderId="0" xfId="35" applyFont="1" applyFill="1"/>
    <xf numFmtId="0" fontId="0" fillId="0" borderId="0" xfId="0" applyAlignment="1">
      <alignment horizontal="left"/>
    </xf>
    <xf numFmtId="0" fontId="19" fillId="0" borderId="0" xfId="0" applyFont="1" applyAlignment="1">
      <alignment horizontal="left"/>
    </xf>
    <xf numFmtId="0" fontId="19" fillId="0" borderId="0" xfId="0" applyFont="1"/>
    <xf numFmtId="0" fontId="29" fillId="0" borderId="0" xfId="0" quotePrefix="1" applyFont="1"/>
    <xf numFmtId="0" fontId="30" fillId="22" borderId="0" xfId="0" applyFont="1" applyFill="1" applyAlignment="1">
      <alignment horizontal="center"/>
    </xf>
    <xf numFmtId="0" fontId="17" fillId="20" borderId="0" xfId="0" applyFont="1" applyFill="1" applyAlignment="1">
      <alignment horizontal="center"/>
    </xf>
    <xf numFmtId="0" fontId="31" fillId="23" borderId="0" xfId="23" applyFont="1" applyFill="1" applyAlignment="1">
      <alignment horizontal="left"/>
    </xf>
    <xf numFmtId="0" fontId="32" fillId="24" borderId="0" xfId="23" applyFont="1" applyFill="1" applyAlignment="1">
      <alignment horizontal="left"/>
    </xf>
    <xf numFmtId="0" fontId="2" fillId="23" borderId="0" xfId="23" applyFont="1" applyFill="1" applyAlignment="1">
      <alignment horizontal="center"/>
    </xf>
    <xf numFmtId="49" fontId="2" fillId="23" borderId="0" xfId="23" applyNumberFormat="1" applyFont="1" applyFill="1" applyAlignment="1">
      <alignment horizontal="center"/>
    </xf>
    <xf numFmtId="2" fontId="16" fillId="23" borderId="0" xfId="35" applyNumberFormat="1" applyFont="1" applyFill="1"/>
    <xf numFmtId="0" fontId="2" fillId="23" borderId="0" xfId="23" applyFont="1" applyFill="1" applyAlignment="1">
      <alignment horizontal="left"/>
    </xf>
    <xf numFmtId="2" fontId="2" fillId="23" borderId="0" xfId="22" applyNumberFormat="1" applyFont="1" applyFill="1" applyAlignment="1">
      <alignment horizontal="center"/>
    </xf>
    <xf numFmtId="0" fontId="0" fillId="0" borderId="0" xfId="0" applyAlignment="1">
      <alignment horizontal="center"/>
    </xf>
    <xf numFmtId="49" fontId="0" fillId="0" borderId="0" xfId="0" applyNumberFormat="1"/>
    <xf numFmtId="49" fontId="19" fillId="0" borderId="0" xfId="0" applyNumberFormat="1" applyFont="1"/>
    <xf numFmtId="165" fontId="19" fillId="0" borderId="0" xfId="0" applyNumberFormat="1" applyFont="1"/>
    <xf numFmtId="49" fontId="34" fillId="0" borderId="0" xfId="0" applyNumberFormat="1" applyFont="1"/>
    <xf numFmtId="0" fontId="32" fillId="25" borderId="0" xfId="23" applyFont="1" applyFill="1" applyAlignment="1">
      <alignment horizontal="left"/>
    </xf>
    <xf numFmtId="49" fontId="0" fillId="0" borderId="10" xfId="0" applyNumberFormat="1" applyBorder="1"/>
    <xf numFmtId="0" fontId="35" fillId="26" borderId="0" xfId="0" applyFont="1" applyFill="1"/>
    <xf numFmtId="0" fontId="36" fillId="20" borderId="0" xfId="0" applyFont="1" applyFill="1"/>
    <xf numFmtId="0" fontId="19" fillId="27" borderId="0" xfId="0" applyFont="1" applyFill="1" applyAlignment="1">
      <alignment horizontal="left"/>
    </xf>
    <xf numFmtId="49" fontId="19" fillId="27" borderId="0" xfId="0" applyNumberFormat="1" applyFont="1" applyFill="1"/>
    <xf numFmtId="0" fontId="19" fillId="27" borderId="0" xfId="0" applyFont="1" applyFill="1" applyAlignment="1">
      <alignment horizontal="center"/>
    </xf>
    <xf numFmtId="165" fontId="19" fillId="27" borderId="0" xfId="0" applyNumberFormat="1" applyFont="1" applyFill="1"/>
    <xf numFmtId="0" fontId="19" fillId="27" borderId="0" xfId="0" applyFont="1" applyFill="1"/>
    <xf numFmtId="49" fontId="19" fillId="27" borderId="0" xfId="0" applyNumberFormat="1" applyFont="1" applyFill="1" applyAlignment="1">
      <alignment horizontal="left"/>
    </xf>
    <xf numFmtId="0" fontId="33" fillId="27" borderId="0" xfId="0" applyFont="1" applyFill="1" applyAlignment="1">
      <alignment horizontal="left"/>
    </xf>
    <xf numFmtId="0" fontId="0" fillId="27" borderId="0" xfId="0" applyFill="1"/>
    <xf numFmtId="49" fontId="33" fillId="27" borderId="0" xfId="0" applyNumberFormat="1" applyFont="1" applyFill="1" applyAlignment="1">
      <alignment horizontal="left"/>
    </xf>
    <xf numFmtId="49" fontId="37" fillId="28" borderId="10" xfId="45" applyNumberFormat="1" applyFont="1" applyFill="1" applyBorder="1"/>
    <xf numFmtId="0" fontId="1" fillId="0" borderId="0" xfId="45"/>
    <xf numFmtId="0" fontId="38" fillId="29" borderId="10" xfId="45" applyFont="1" applyFill="1" applyBorder="1"/>
    <xf numFmtId="49" fontId="38" fillId="29" borderId="10" xfId="45" applyNumberFormat="1" applyFont="1" applyFill="1" applyBorder="1"/>
    <xf numFmtId="49" fontId="1" fillId="0" borderId="0" xfId="45" applyNumberFormat="1"/>
    <xf numFmtId="0" fontId="19" fillId="0" borderId="0" xfId="0" quotePrefix="1" applyFont="1"/>
    <xf numFmtId="0" fontId="19" fillId="0" borderId="0" xfId="0" applyFont="1" applyFill="1" applyAlignment="1">
      <alignment horizontal="left"/>
    </xf>
    <xf numFmtId="0" fontId="19" fillId="0" borderId="0" xfId="0" applyFont="1" applyFill="1" applyAlignment="1">
      <alignment horizontal="center"/>
    </xf>
    <xf numFmtId="165" fontId="19" fillId="0" borderId="0" xfId="0" applyNumberFormat="1" applyFont="1" applyFill="1"/>
    <xf numFmtId="0" fontId="19" fillId="0" borderId="0" xfId="0" applyFont="1" applyFill="1"/>
    <xf numFmtId="49" fontId="19" fillId="0" borderId="0" xfId="0" applyNumberFormat="1" applyFont="1" applyFill="1"/>
    <xf numFmtId="49" fontId="19" fillId="0" borderId="0" xfId="0" applyNumberFormat="1" applyFont="1" applyFill="1" applyAlignment="1">
      <alignment horizontal="left"/>
    </xf>
    <xf numFmtId="0" fontId="33" fillId="0" borderId="0" xfId="0" applyFont="1" applyFill="1" applyAlignment="1">
      <alignment horizontal="left"/>
    </xf>
    <xf numFmtId="49" fontId="33" fillId="0" borderId="0" xfId="0" applyNumberFormat="1" applyFont="1" applyFill="1" applyAlignment="1">
      <alignment horizontal="left"/>
    </xf>
    <xf numFmtId="0" fontId="0" fillId="0" borderId="0" xfId="0" applyFill="1"/>
    <xf numFmtId="0" fontId="0" fillId="0" borderId="0" xfId="0" applyFill="1" applyAlignment="1">
      <alignment horizontal="center"/>
    </xf>
    <xf numFmtId="0" fontId="0" fillId="0" borderId="0" xfId="0" applyFill="1" applyAlignment="1">
      <alignment horizontal="left"/>
    </xf>
    <xf numFmtId="49" fontId="19" fillId="27" borderId="0" xfId="0" applyFont="1" applyFill="1" applyAlignment="1" applyNumberFormat="1">
      <alignment horizontal="left"/>
    </xf>
    <xf numFmtId="49" fontId="19" fillId="27" borderId="0" xfId="0" applyNumberFormat="1" applyFont="1" applyFill="1"/>
    <xf numFmtId="49" fontId="19" fillId="27" borderId="0" xfId="0" applyFont="1" applyFill="1" applyNumberFormat="1"/>
    <xf numFmtId="49" fontId="19" fillId="27" borderId="0" xfId="0" applyNumberFormat="1" applyFont="1" applyFill="1" applyAlignment="1">
      <alignment horizontal="left"/>
    </xf>
    <xf numFmtId="49" fontId="33" fillId="27" borderId="0" xfId="0" applyFont="1" applyFill="1" applyAlignment="1" applyNumberFormat="1">
      <alignment horizontal="left"/>
    </xf>
    <xf numFmtId="49" fontId="33" fillId="27" borderId="0" xfId="0" applyNumberFormat="1" applyFont="1" applyFill="1" applyAlignment="1">
      <alignment horizontal="left"/>
    </xf>
    <xf numFmtId="49" fontId="0" fillId="27" borderId="0" xfId="0" applyFill="1" applyNumberFormat="1"/>
    <xf numFmtId="49" fontId="29" fillId="0" borderId="0" xfId="0" quotePrefix="1" applyFont="1" applyNumberFormat="1"/>
    <xf numFmtId="49" fontId="19" fillId="0" borderId="0" xfId="0" applyFont="1" applyNumberFormat="1"/>
    <xf numFmtId="49" fontId="19" fillId="0" borderId="0" xfId="0" quotePrefix="1" applyFont="1" applyNumberFormat="1"/>
  </cellXfs>
  <cellStyles count="47">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4" builtinId="32" customBuiltin="1"/>
    <cellStyle name="60% - Énfasis2" xfId="15" builtinId="36" customBuiltin="1"/>
    <cellStyle name="60% - Énfasis3" xfId="16" builtinId="40" customBuiltin="1"/>
    <cellStyle name="60% - Énfasis4" xfId="17" builtinId="44" customBuiltin="1"/>
    <cellStyle name="60% - Énfasis5" xfId="18" builtinId="48" customBuiltin="1"/>
    <cellStyle name="60% - Énfasis6" xfId="19" builtinId="52" customBuiltin="1"/>
    <cellStyle name="Buena" xfId="29" xr:uid="{00000000-0005-0000-0000-000012000000}"/>
    <cellStyle name="Cálculo" xfId="20" builtinId="22" customBuiltin="1"/>
    <cellStyle name="Celda de comprobación" xfId="21" xr:uid="{00000000-0005-0000-0000-000014000000}"/>
    <cellStyle name="Celda vinculada" xfId="33" xr:uid="{00000000-0005-0000-0000-000015000000}"/>
    <cellStyle name="Encabezado 1" xfId="40" builtinId="16" customBuiltin="1"/>
    <cellStyle name="Encabezado 4" xfId="30" xr:uid="{00000000-0005-0000-0000-000017000000}"/>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32" xr:uid="{00000000-0005-0000-0000-00001E000000}"/>
    <cellStyle name="Hipervínculo 2" xfId="46" xr:uid="{101D8BAB-4E89-45BE-8453-2A40A6ED32E7}"/>
    <cellStyle name="Incorrecto" xfId="31" builtinId="27" customBuiltin="1"/>
    <cellStyle name="Millares" xfId="22" builtinId="3"/>
    <cellStyle name="Neutral" xfId="34" builtinId="28" customBuiltin="1"/>
    <cellStyle name="Normal" xfId="0" builtinId="0"/>
    <cellStyle name="Normal 2" xfId="13" xr:uid="{00000000-0005-0000-0000-000023000000}"/>
    <cellStyle name="Normal 3" xfId="45" xr:uid="{3F37CB6C-D37A-487E-88D7-A43FBE93F971}"/>
    <cellStyle name="Normal_MODELO CXCOBRAR INDUQUIMICA" xfId="35" xr:uid="{00000000-0005-0000-0000-000024000000}"/>
    <cellStyle name="Notas" xfId="36" xr:uid="{00000000-0005-0000-0000-000025000000}"/>
    <cellStyle name="Salida" xfId="37" builtinId="21" customBuiltin="1"/>
    <cellStyle name="Texto de advertencia" xfId="44" xr:uid="{00000000-0005-0000-0000-000027000000}"/>
    <cellStyle name="Texto explicativo" xfId="38" builtinId="53" customBuiltin="1"/>
    <cellStyle name="Título" xfId="39" builtinId="15" customBuiltin="1"/>
    <cellStyle name="Título 2" xfId="41" builtinId="17" customBuiltin="1"/>
    <cellStyle name="Título 3" xfId="42" builtinId="18" customBuiltin="1"/>
    <cellStyle name="Total" xfId="43"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therine Velasquez Borja" id="{7F1773E2-C257-42D2-AD59-60DA3B7CBB42}" userId="S::katy.velasquez@mascotaslatinas.com::058c4a3e-b403-4a81-adf6-201c89b23d4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1" dT="2026-07-01T22:25:12.01" personId="{7F1773E2-C257-42D2-AD59-60DA3B7CBB42}" id="{1E846617-CC3E-4152-8A3C-6D68FF763BFA}">
    <text>Proveedor final a Pagar</text>
  </threadedComment>
</ThreadedComments>
</file>

<file path=xl/threadedComments/threadedComment2.xml><?xml version="1.0" encoding="utf-8"?>
<ThreadedComments xmlns="http://schemas.microsoft.com/office/spreadsheetml/2018/threadedcomments" xmlns:x="http://schemas.openxmlformats.org/spreadsheetml/2006/main">
  <threadedComment ref="S1" dT="2026-07-01T22:25:12.01" personId="{7F1773E2-C257-42D2-AD59-60DA3B7CBB42}" id="{68D3B7C5-BBAD-4DED-8C69-3FC92720F7A8}">
    <text>Proveedor final a Pagar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CD1AB-6E15-4CB0-8A61-76AAD2A89058}">
  <sheetPr>
    <tabColor rgb="FFFFC000"/>
  </sheetPr>
  <dimension ref="A1:Z3"/>
  <sheetViews>
    <sheetView topLeftCell="A1" zoomScale="85" zoomScaleNormal="85" workbookViewId="0">
      <selection activeCell="A3" sqref="A3"/>
    </sheetView>
  </sheetViews>
  <sheetFormatPr baseColWidth="10" defaultColWidth="9.1796875" defaultRowHeight="12.5" x14ac:dyDescent="0.25"/>
  <cols>
    <col min="1" max="1" width="9.81640625" style="3" bestFit="1" customWidth="1"/>
    <col min="2" max="2" width="14.81640625" bestFit="1" customWidth="1"/>
    <col min="3" max="3" width="13.08984375" style="16" customWidth="1"/>
    <col min="4" max="4" width="10.1796875" customWidth="1"/>
    <col min="5" max="5" width="18.54296875" bestFit="1" customWidth="1"/>
    <col min="6" max="6" width="15.7265625" style="3" bestFit="1" customWidth="1"/>
    <col min="7" max="7" width="14.81640625" style="3" bestFit="1" customWidth="1"/>
    <col min="8" max="8" width="17.54296875" bestFit="1" customWidth="1"/>
    <col min="9" max="9" width="13.26953125" bestFit="1" customWidth="1"/>
    <col min="10" max="10" width="27.36328125" customWidth="1"/>
    <col min="11" max="11" width="28.08984375" customWidth="1"/>
    <col min="12" max="12" width="16.1796875" style="3" bestFit="1" customWidth="1"/>
    <col min="13" max="13" width="14.1796875" bestFit="1" customWidth="1"/>
    <col min="14" max="14" width="11.1796875" bestFit="1" customWidth="1"/>
    <col min="15" max="17" width="19.81640625" customWidth="1"/>
    <col min="18" max="19" width="17.6328125" customWidth="1"/>
    <col min="20" max="20" width="13.1796875" customWidth="1"/>
    <col min="21" max="22" width="17.90625" customWidth="1"/>
    <col min="23" max="24" width="16.7265625" bestFit="1" customWidth="1"/>
    <col min="25" max="25" width="28" customWidth="1"/>
  </cols>
  <sheetData>
    <row r="1" spans="1:26" ht="13" x14ac:dyDescent="0.3">
      <c r="A1" s="9" t="s">
        <v>0</v>
      </c>
      <c r="B1" s="9" t="s">
        <v>1</v>
      </c>
      <c r="C1" s="9" t="s">
        <v>2</v>
      </c>
      <c r="D1" s="9" t="s">
        <v>3</v>
      </c>
      <c r="E1" s="9" t="s">
        <v>4</v>
      </c>
      <c r="F1" s="9" t="s">
        <v>5</v>
      </c>
      <c r="G1" s="9" t="s">
        <v>6</v>
      </c>
      <c r="H1" s="9" t="s">
        <v>7</v>
      </c>
      <c r="I1" s="9" t="s">
        <v>8</v>
      </c>
      <c r="J1" s="9" t="s">
        <v>164</v>
      </c>
      <c r="K1" s="9" t="s">
        <v>9</v>
      </c>
      <c r="L1" s="9" t="s">
        <v>10</v>
      </c>
      <c r="M1" s="9" t="s">
        <v>11</v>
      </c>
      <c r="N1" s="9" t="s">
        <v>12</v>
      </c>
      <c r="O1" s="9" t="s">
        <v>13</v>
      </c>
      <c r="P1" s="9" t="s">
        <v>162</v>
      </c>
      <c r="Q1" s="9" t="s">
        <v>163</v>
      </c>
      <c r="R1" s="9" t="s">
        <v>14</v>
      </c>
      <c r="S1" s="9" t="s">
        <v>189</v>
      </c>
      <c r="T1" s="9" t="s">
        <v>15</v>
      </c>
      <c r="U1" s="9" t="s">
        <v>16</v>
      </c>
      <c r="V1" s="9" t="s">
        <v>171</v>
      </c>
      <c r="W1" s="9" t="s">
        <v>17</v>
      </c>
      <c r="X1" s="9" t="s">
        <v>18</v>
      </c>
      <c r="Y1" s="9" t="s">
        <v>182</v>
      </c>
      <c r="Z1" s="9" t="s">
        <v>183</v>
      </c>
    </row>
    <row r="2" spans="1:26" ht="13" x14ac:dyDescent="0.3">
      <c r="A2" s="10" t="s">
        <v>0</v>
      </c>
      <c r="B2" s="10" t="s">
        <v>19</v>
      </c>
      <c r="C2" s="10" t="s">
        <v>20</v>
      </c>
      <c r="D2" s="10" t="s">
        <v>21</v>
      </c>
      <c r="E2" s="10" t="s">
        <v>22</v>
      </c>
      <c r="F2" s="10" t="s">
        <v>23</v>
      </c>
      <c r="G2" s="10" t="s">
        <v>24</v>
      </c>
      <c r="H2" s="21" t="s">
        <v>25</v>
      </c>
      <c r="I2" s="10" t="s">
        <v>26</v>
      </c>
      <c r="J2" s="10" t="s">
        <v>165</v>
      </c>
      <c r="K2" s="10" t="s">
        <v>27</v>
      </c>
      <c r="L2" s="10" t="s">
        <v>28</v>
      </c>
      <c r="M2" s="10" t="s">
        <v>29</v>
      </c>
      <c r="N2" s="10" t="s">
        <v>30</v>
      </c>
      <c r="O2" s="10" t="s">
        <v>31</v>
      </c>
      <c r="P2" s="10" t="s">
        <v>162</v>
      </c>
      <c r="Q2" s="10" t="s">
        <v>163</v>
      </c>
      <c r="R2" s="2" t="s">
        <v>32</v>
      </c>
      <c r="S2" s="2" t="s">
        <v>190</v>
      </c>
      <c r="T2" s="2" t="s">
        <v>33</v>
      </c>
      <c r="U2" s="2" t="s">
        <v>34</v>
      </c>
      <c r="V2" s="10" t="s">
        <v>172</v>
      </c>
      <c r="W2" s="10" t="s">
        <v>35</v>
      </c>
      <c r="X2" s="10" t="s">
        <v>36</v>
      </c>
      <c r="Y2" s="10" t="s">
        <v>184</v>
      </c>
      <c r="Z2" s="10" t="s">
        <v>185</v>
      </c>
    </row>
    <row r="3" spans="1:26" s="32" customFormat="1" x14ac:dyDescent="0.25">
      <c r="A3" s="25">
        <v>1</v>
      </c>
      <c r="B3" s="51" t="inlineStr">
        <is>
          <t>P20511315922</t>
        </is>
      </c>
      <c r="C3" s="27"/>
      <c r="D3" s="28"/>
      <c r="E3" s="29">
        <v>20260902</v>
      </c>
      <c r="F3" s="29"/>
      <c r="G3" s="25">
        <v>20260901</v>
      </c>
      <c r="H3" s="52" t="inlineStr">
        <is>
          <t>dDocument_Service</t>
        </is>
      </c>
      <c r="I3" s="26"/>
      <c r="J3" s="53" t="inlineStr">
        <is>
          <t>GASTOS COMUN SP51- 2026.09</t>
        </is>
      </c>
      <c r="K3" s="53" t="inlineStr">
        <is>
          <t>GASTOS COMUN SP51- 2026.09</t>
        </is>
      </c>
      <c r="L3" s="51" t="inlineStr">
        <is>
          <t>01</t>
        </is>
      </c>
      <c r="M3" s="53" t="inlineStr">
        <is>
          <t>F001</t>
        </is>
      </c>
      <c r="N3" s="54" t="inlineStr">
        <is>
          <t>00960034</t>
        </is>
      </c>
      <c r="O3" s="55" t="inlineStr">
        <is>
          <t>01-F001-00960034</t>
        </is>
      </c>
      <c r="P3" s="55" t="inlineStr">
        <is>
          <t>F001</t>
        </is>
      </c>
      <c r="Q3" s="56" t="inlineStr">
        <is>
          <t>00960034</t>
        </is>
      </c>
      <c r="R3" s="31"/>
      <c r="S3" s="31"/>
      <c r="T3" s="56" t="inlineStr">
        <is>
          <t>02</t>
        </is>
      </c>
      <c r="U3" s="55" t="inlineStr">
        <is>
          <t>A</t>
        </is>
      </c>
      <c r="V3" s="32">
        <v>4</v>
      </c>
      <c r="W3" s="57" t="inlineStr">
        <is>
          <t>Y</t>
        </is>
      </c>
      <c r="X3" s="57" t="inlineStr">
        <is>
          <t>Y</t>
        </is>
      </c>
      <c r="Y3" s="29"/>
      <c r="Z3" s="32"/>
    </row>
  </sheetData>
  <autoFilter ref="A1:R3" xr:uid="{6DBC4CDA-912F-430E-9E55-5A0747450EA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B552-92FF-417D-ACB8-46BF44DF4C04}">
  <sheetPr>
    <tabColor rgb="FFFFC000"/>
  </sheetPr>
  <dimension ref="A1:J3"/>
  <sheetViews>
    <sheetView tabSelected="1" workbookViewId="0" topLeftCell="A1">
      <selection activeCell="A3" sqref="A3"/>
    </sheetView>
  </sheetViews>
  <sheetFormatPr baseColWidth="10" defaultColWidth="9.1796875" defaultRowHeight="12.5" x14ac:dyDescent="0.25"/>
  <cols>
    <col min="1" max="1" width="9.453125" style="3" bestFit="1" customWidth="1"/>
    <col min="2" max="2" width="9.453125" style="3" customWidth="1"/>
    <col min="3" max="3" width="15" bestFit="1" customWidth="1"/>
    <col min="4" max="4" width="29.81640625" customWidth="1"/>
    <col min="5" max="5" width="14.26953125" bestFit="1" customWidth="1"/>
    <col min="6" max="6" width="13.6328125" customWidth="1"/>
    <col min="7" max="7" width="12.54296875" customWidth="1"/>
    <col min="8" max="8" width="22.453125" bestFit="1" customWidth="1"/>
    <col min="9" max="9" width="13.7265625" customWidth="1"/>
    <col min="10" max="10" width="11.6328125" customWidth="1"/>
  </cols>
  <sheetData>
    <row r="1" spans="1:10" ht="13" x14ac:dyDescent="0.3">
      <c r="A1" s="7" t="s">
        <v>45</v>
      </c>
      <c r="B1" s="7" t="s">
        <v>46</v>
      </c>
      <c r="C1" s="12" t="s">
        <v>47</v>
      </c>
      <c r="D1" s="11" t="s">
        <v>48</v>
      </c>
      <c r="E1" s="13" t="s">
        <v>49</v>
      </c>
      <c r="F1" s="14" t="s">
        <v>50</v>
      </c>
      <c r="G1" s="14" t="s">
        <v>161</v>
      </c>
      <c r="H1" s="23" t="s">
        <v>51</v>
      </c>
      <c r="I1" s="9" t="s">
        <v>174</v>
      </c>
      <c r="J1" s="9" t="s">
        <v>186</v>
      </c>
    </row>
    <row r="2" spans="1:10" ht="13" x14ac:dyDescent="0.3">
      <c r="A2" s="8" t="s">
        <v>0</v>
      </c>
      <c r="B2" s="7" t="s">
        <v>46</v>
      </c>
      <c r="C2" s="12" t="s">
        <v>52</v>
      </c>
      <c r="D2" s="11" t="s">
        <v>53</v>
      </c>
      <c r="E2" s="15" t="s">
        <v>54</v>
      </c>
      <c r="F2" s="14" t="s">
        <v>55</v>
      </c>
      <c r="G2" s="14" t="s">
        <v>156</v>
      </c>
      <c r="H2" s="24" t="s">
        <v>56</v>
      </c>
      <c r="I2" s="24" t="s">
        <v>187</v>
      </c>
      <c r="J2" s="24" t="s">
        <v>188</v>
      </c>
    </row>
    <row r="3" spans="1:10" x14ac:dyDescent="0.25">
      <c r="A3" s="4">
        <v>1</v>
      </c>
      <c r="B3" s="4">
        <v>0</v>
      </c>
      <c r="C3" s="58" t="inlineStr">
        <is>
          <t>6351030000</t>
        </is>
      </c>
      <c r="D3" s="53" t="inlineStr">
        <is>
          <t>GASTOS COMUN SP51- 2026.09</t>
        </is>
      </c>
      <c r="E3" s="1">
        <v>1967.97</v>
      </c>
      <c r="F3" s="59" t="inlineStr">
        <is>
          <t>IGV_18</t>
        </is>
      </c>
      <c r="G3" s="59" t="inlineStr">
        <is>
          <t>SP-SP51</t>
        </is>
      </c>
      <c r="H3" s="59" t="inlineStr">
        <is>
          <t>N</t>
        </is>
      </c>
      <c r="I3" s="60" t="inlineStr">
        <is>
          <t>019</t>
        </is>
      </c>
      <c r="J3" s="0"/>
    </row>
  </sheetData>
  <autoFilter ref="A2:F3" xr:uid="{0FB8BAFB-6373-45D6-9196-15FDFC8B0F63}"/>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98F5F-2EE1-41E1-922C-3D040C9ED79F}">
  <sheetPr>
    <tabColor theme="3" tint="0.39997558519241921"/>
  </sheetPr>
  <dimension ref="A1:Z69"/>
  <sheetViews>
    <sheetView topLeftCell="M1" zoomScale="85" zoomScaleNormal="85" workbookViewId="0">
      <selection activeCell="U20" sqref="U20"/>
    </sheetView>
  </sheetViews>
  <sheetFormatPr baseColWidth="10" defaultColWidth="9.1796875" defaultRowHeight="12.5" x14ac:dyDescent="0.25"/>
  <cols>
    <col min="1" max="1" width="9.81640625" style="50" bestFit="1" customWidth="1"/>
    <col min="2" max="2" width="14.81640625" style="48" bestFit="1" customWidth="1"/>
    <col min="3" max="3" width="13.08984375" style="49" customWidth="1"/>
    <col min="4" max="4" width="10.1796875" style="48" customWidth="1"/>
    <col min="5" max="5" width="18.54296875" style="48" bestFit="1" customWidth="1"/>
    <col min="6" max="6" width="15.7265625" style="50" bestFit="1" customWidth="1"/>
    <col min="7" max="7" width="14.81640625" style="50" bestFit="1" customWidth="1"/>
    <col min="8" max="8" width="17.54296875" style="48" bestFit="1" customWidth="1"/>
    <col min="9" max="9" width="13.26953125" style="48" bestFit="1" customWidth="1"/>
    <col min="10" max="10" width="27.36328125" style="48" customWidth="1"/>
    <col min="11" max="11" width="28.08984375" style="48" customWidth="1"/>
    <col min="12" max="12" width="16.1796875" style="50" bestFit="1" customWidth="1"/>
    <col min="13" max="13" width="14.1796875" style="48" bestFit="1" customWidth="1"/>
    <col min="14" max="14" width="11.1796875" style="48" bestFit="1" customWidth="1"/>
    <col min="15" max="17" width="19.81640625" style="48" customWidth="1"/>
    <col min="18" max="19" width="17.6328125" style="48" customWidth="1"/>
    <col min="20" max="20" width="13.1796875" style="48" customWidth="1"/>
    <col min="21" max="22" width="17.90625" style="48" customWidth="1"/>
    <col min="23" max="24" width="16.7265625" style="48" bestFit="1" customWidth="1"/>
    <col min="25" max="25" width="28" style="48" customWidth="1"/>
    <col min="26" max="16384" width="9.1796875" style="48"/>
  </cols>
  <sheetData>
    <row r="1" spans="1:26" customFormat="1" ht="13" x14ac:dyDescent="0.3">
      <c r="A1" s="9" t="s">
        <v>0</v>
      </c>
      <c r="B1" s="9" t="s">
        <v>1</v>
      </c>
      <c r="C1" s="9" t="s">
        <v>2</v>
      </c>
      <c r="D1" s="9" t="s">
        <v>3</v>
      </c>
      <c r="E1" s="9" t="s">
        <v>4</v>
      </c>
      <c r="F1" s="9" t="s">
        <v>5</v>
      </c>
      <c r="G1" s="9" t="s">
        <v>6</v>
      </c>
      <c r="H1" s="9" t="s">
        <v>7</v>
      </c>
      <c r="I1" s="9" t="s">
        <v>8</v>
      </c>
      <c r="J1" s="9" t="s">
        <v>164</v>
      </c>
      <c r="K1" s="9" t="s">
        <v>9</v>
      </c>
      <c r="L1" s="9" t="s">
        <v>10</v>
      </c>
      <c r="M1" s="9" t="s">
        <v>11</v>
      </c>
      <c r="N1" s="9" t="s">
        <v>12</v>
      </c>
      <c r="O1" s="9" t="s">
        <v>13</v>
      </c>
      <c r="P1" s="9" t="s">
        <v>162</v>
      </c>
      <c r="Q1" s="9" t="s">
        <v>163</v>
      </c>
      <c r="R1" s="9" t="s">
        <v>14</v>
      </c>
      <c r="S1" s="9" t="s">
        <v>189</v>
      </c>
      <c r="T1" s="9" t="s">
        <v>15</v>
      </c>
      <c r="U1" s="9" t="s">
        <v>16</v>
      </c>
      <c r="V1" s="9" t="s">
        <v>171</v>
      </c>
      <c r="W1" s="9" t="s">
        <v>17</v>
      </c>
      <c r="X1" s="9" t="s">
        <v>18</v>
      </c>
      <c r="Y1" s="9" t="s">
        <v>182</v>
      </c>
      <c r="Z1" s="9" t="s">
        <v>183</v>
      </c>
    </row>
    <row r="2" spans="1:26" customFormat="1" ht="13" x14ac:dyDescent="0.3">
      <c r="A2" s="10" t="s">
        <v>0</v>
      </c>
      <c r="B2" s="10" t="s">
        <v>19</v>
      </c>
      <c r="C2" s="10" t="s">
        <v>20</v>
      </c>
      <c r="D2" s="10" t="s">
        <v>21</v>
      </c>
      <c r="E2" s="10" t="s">
        <v>22</v>
      </c>
      <c r="F2" s="10" t="s">
        <v>23</v>
      </c>
      <c r="G2" s="10" t="s">
        <v>24</v>
      </c>
      <c r="H2" s="21" t="s">
        <v>25</v>
      </c>
      <c r="I2" s="10" t="s">
        <v>26</v>
      </c>
      <c r="J2" s="10" t="s">
        <v>165</v>
      </c>
      <c r="K2" s="10" t="s">
        <v>27</v>
      </c>
      <c r="L2" s="10" t="s">
        <v>28</v>
      </c>
      <c r="M2" s="10" t="s">
        <v>29</v>
      </c>
      <c r="N2" s="10" t="s">
        <v>30</v>
      </c>
      <c r="O2" s="10" t="s">
        <v>31</v>
      </c>
      <c r="P2" s="10" t="s">
        <v>162</v>
      </c>
      <c r="Q2" s="10" t="s">
        <v>163</v>
      </c>
      <c r="R2" s="2" t="s">
        <v>32</v>
      </c>
      <c r="S2" s="2" t="s">
        <v>190</v>
      </c>
      <c r="T2" s="2" t="s">
        <v>33</v>
      </c>
      <c r="U2" s="2" t="s">
        <v>34</v>
      </c>
      <c r="V2" s="10" t="s">
        <v>172</v>
      </c>
      <c r="W2" s="10" t="s">
        <v>35</v>
      </c>
      <c r="X2" s="10" t="s">
        <v>36</v>
      </c>
      <c r="Y2" s="10" t="s">
        <v>184</v>
      </c>
      <c r="Z2" s="10" t="s">
        <v>185</v>
      </c>
    </row>
    <row r="3" spans="1:26" x14ac:dyDescent="0.25">
      <c r="A3" s="40">
        <v>1</v>
      </c>
      <c r="B3" s="40" t="s">
        <v>170</v>
      </c>
      <c r="C3" s="41"/>
      <c r="D3" s="42"/>
      <c r="E3" s="43">
        <v>20260430</v>
      </c>
      <c r="F3" s="43"/>
      <c r="G3" s="40">
        <v>20260328</v>
      </c>
      <c r="H3" s="44" t="s">
        <v>37</v>
      </c>
      <c r="I3" s="44"/>
      <c r="J3" s="43" t="s">
        <v>175</v>
      </c>
      <c r="K3" s="43" t="s">
        <v>175</v>
      </c>
      <c r="L3" s="40" t="s">
        <v>38</v>
      </c>
      <c r="M3" s="43" t="s">
        <v>154</v>
      </c>
      <c r="N3" s="45" t="s">
        <v>176</v>
      </c>
      <c r="O3" s="46" t="str">
        <f t="shared" ref="O3:O8" si="0">L3&amp;"-"&amp;M3&amp;"-"&amp;N3</f>
        <v>01-F001-0000122</v>
      </c>
      <c r="P3" s="46" t="str">
        <f>+M3</f>
        <v>F001</v>
      </c>
      <c r="Q3" s="47" t="str">
        <f>+N3</f>
        <v>0000122</v>
      </c>
      <c r="R3" s="46">
        <v>4212300000</v>
      </c>
      <c r="S3" s="46"/>
      <c r="T3" s="47" t="s">
        <v>39</v>
      </c>
      <c r="U3" s="46" t="s">
        <v>40</v>
      </c>
      <c r="V3" s="49">
        <v>4</v>
      </c>
      <c r="W3" s="48" t="s">
        <v>41</v>
      </c>
      <c r="X3" s="48" t="s">
        <v>41</v>
      </c>
      <c r="Y3" s="43"/>
    </row>
    <row r="4" spans="1:26" x14ac:dyDescent="0.25">
      <c r="A4" s="40">
        <v>2</v>
      </c>
      <c r="B4" s="40" t="s">
        <v>170</v>
      </c>
      <c r="C4" s="41"/>
      <c r="D4" s="42"/>
      <c r="E4" s="43">
        <v>20260430</v>
      </c>
      <c r="F4" s="43"/>
      <c r="G4" s="40">
        <v>20260328</v>
      </c>
      <c r="H4" s="44" t="s">
        <v>37</v>
      </c>
      <c r="I4" s="44"/>
      <c r="J4" s="43" t="s">
        <v>175</v>
      </c>
      <c r="K4" s="43" t="s">
        <v>175</v>
      </c>
      <c r="L4" s="40" t="s">
        <v>38</v>
      </c>
      <c r="M4" s="43" t="s">
        <v>154</v>
      </c>
      <c r="N4" s="45" t="s">
        <v>177</v>
      </c>
      <c r="O4" s="46" t="str">
        <f t="shared" si="0"/>
        <v>01-F001-0000123</v>
      </c>
      <c r="P4" s="46" t="str">
        <f t="shared" ref="P4:P8" si="1">+M4</f>
        <v>F001</v>
      </c>
      <c r="Q4" s="47" t="str">
        <f t="shared" ref="Q4:Q8" si="2">+N4</f>
        <v>0000123</v>
      </c>
      <c r="R4" s="46">
        <v>4212300000</v>
      </c>
      <c r="S4" s="46"/>
      <c r="T4" s="47" t="s">
        <v>39</v>
      </c>
      <c r="U4" s="46" t="s">
        <v>40</v>
      </c>
      <c r="V4" s="49">
        <v>4</v>
      </c>
      <c r="W4" s="48" t="s">
        <v>41</v>
      </c>
      <c r="X4" s="48" t="s">
        <v>41</v>
      </c>
    </row>
    <row r="5" spans="1:26" x14ac:dyDescent="0.25">
      <c r="A5" s="40">
        <v>3</v>
      </c>
      <c r="B5" s="40" t="s">
        <v>170</v>
      </c>
      <c r="C5" s="41"/>
      <c r="D5" s="42"/>
      <c r="E5" s="43">
        <v>20260430</v>
      </c>
      <c r="F5" s="43"/>
      <c r="G5" s="40">
        <v>20260328</v>
      </c>
      <c r="H5" s="44" t="s">
        <v>37</v>
      </c>
      <c r="I5" s="44"/>
      <c r="J5" s="43" t="s">
        <v>175</v>
      </c>
      <c r="K5" s="43" t="s">
        <v>175</v>
      </c>
      <c r="L5" s="40" t="s">
        <v>38</v>
      </c>
      <c r="M5" s="43" t="s">
        <v>154</v>
      </c>
      <c r="N5" s="45" t="s">
        <v>178</v>
      </c>
      <c r="O5" s="46" t="str">
        <f t="shared" si="0"/>
        <v>01-F001-0000124</v>
      </c>
      <c r="P5" s="46" t="str">
        <f t="shared" si="1"/>
        <v>F001</v>
      </c>
      <c r="Q5" s="47" t="str">
        <f t="shared" si="2"/>
        <v>0000124</v>
      </c>
      <c r="R5" s="46">
        <v>4212300000</v>
      </c>
      <c r="S5" s="46"/>
      <c r="T5" s="47" t="s">
        <v>39</v>
      </c>
      <c r="U5" s="46" t="s">
        <v>40</v>
      </c>
      <c r="V5" s="49">
        <v>4</v>
      </c>
      <c r="W5" s="48" t="s">
        <v>41</v>
      </c>
      <c r="X5" s="48" t="s">
        <v>41</v>
      </c>
      <c r="Y5" s="43" t="s">
        <v>166</v>
      </c>
      <c r="Z5" s="48">
        <v>0.01</v>
      </c>
    </row>
    <row r="6" spans="1:26" x14ac:dyDescent="0.25">
      <c r="A6" s="40">
        <v>4</v>
      </c>
      <c r="B6" s="40" t="s">
        <v>170</v>
      </c>
      <c r="C6" s="41"/>
      <c r="D6" s="42"/>
      <c r="E6" s="43">
        <v>20260430</v>
      </c>
      <c r="F6" s="43"/>
      <c r="G6" s="40">
        <v>20260328</v>
      </c>
      <c r="H6" s="44" t="s">
        <v>37</v>
      </c>
      <c r="I6" s="44"/>
      <c r="J6" s="43" t="s">
        <v>175</v>
      </c>
      <c r="K6" s="43" t="s">
        <v>175</v>
      </c>
      <c r="L6" s="40" t="s">
        <v>38</v>
      </c>
      <c r="M6" s="43" t="s">
        <v>154</v>
      </c>
      <c r="N6" s="45" t="s">
        <v>179</v>
      </c>
      <c r="O6" s="46" t="str">
        <f t="shared" si="0"/>
        <v>01-F001-0000125</v>
      </c>
      <c r="P6" s="46" t="str">
        <f t="shared" si="1"/>
        <v>F001</v>
      </c>
      <c r="Q6" s="47" t="str">
        <f t="shared" si="2"/>
        <v>0000125</v>
      </c>
      <c r="R6" s="46">
        <v>4212300000</v>
      </c>
      <c r="S6" s="46"/>
      <c r="T6" s="47" t="s">
        <v>39</v>
      </c>
      <c r="U6" s="46" t="s">
        <v>40</v>
      </c>
      <c r="V6" s="49">
        <v>4</v>
      </c>
      <c r="W6" s="48" t="s">
        <v>41</v>
      </c>
      <c r="X6" s="48" t="s">
        <v>41</v>
      </c>
    </row>
    <row r="7" spans="1:26" x14ac:dyDescent="0.25">
      <c r="A7" s="40">
        <v>5</v>
      </c>
      <c r="B7" s="40" t="s">
        <v>170</v>
      </c>
      <c r="C7" s="41"/>
      <c r="D7" s="42"/>
      <c r="E7" s="43">
        <v>20260430</v>
      </c>
      <c r="F7" s="43"/>
      <c r="G7" s="40">
        <v>20260328</v>
      </c>
      <c r="H7" s="44" t="s">
        <v>37</v>
      </c>
      <c r="I7" s="44"/>
      <c r="J7" s="43" t="s">
        <v>175</v>
      </c>
      <c r="K7" s="43" t="s">
        <v>175</v>
      </c>
      <c r="L7" s="40" t="s">
        <v>38</v>
      </c>
      <c r="M7" s="43" t="s">
        <v>154</v>
      </c>
      <c r="N7" s="45" t="s">
        <v>180</v>
      </c>
      <c r="O7" s="46" t="str">
        <f t="shared" si="0"/>
        <v>01-F001-0000126</v>
      </c>
      <c r="P7" s="46" t="str">
        <f t="shared" si="1"/>
        <v>F001</v>
      </c>
      <c r="Q7" s="47" t="str">
        <f t="shared" si="2"/>
        <v>0000126</v>
      </c>
      <c r="R7" s="46">
        <v>4212300000</v>
      </c>
      <c r="S7" s="46"/>
      <c r="T7" s="47" t="s">
        <v>39</v>
      </c>
      <c r="U7" s="46" t="s">
        <v>40</v>
      </c>
      <c r="V7" s="49">
        <v>4</v>
      </c>
      <c r="W7" s="48" t="s">
        <v>41</v>
      </c>
      <c r="X7" s="48" t="s">
        <v>41</v>
      </c>
    </row>
    <row r="8" spans="1:26" x14ac:dyDescent="0.25">
      <c r="A8" s="40">
        <v>6</v>
      </c>
      <c r="B8" s="40" t="s">
        <v>170</v>
      </c>
      <c r="C8" s="41"/>
      <c r="D8" s="42"/>
      <c r="E8" s="43">
        <v>20260430</v>
      </c>
      <c r="F8" s="43"/>
      <c r="G8" s="40">
        <v>20260328</v>
      </c>
      <c r="H8" s="44" t="s">
        <v>37</v>
      </c>
      <c r="I8" s="44"/>
      <c r="J8" s="43" t="s">
        <v>175</v>
      </c>
      <c r="K8" s="43" t="s">
        <v>175</v>
      </c>
      <c r="L8" s="40" t="s">
        <v>38</v>
      </c>
      <c r="M8" s="43" t="s">
        <v>154</v>
      </c>
      <c r="N8" s="45" t="s">
        <v>181</v>
      </c>
      <c r="O8" s="46" t="str">
        <f t="shared" si="0"/>
        <v>01-F001-0000127</v>
      </c>
      <c r="P8" s="46" t="str">
        <f t="shared" si="1"/>
        <v>F001</v>
      </c>
      <c r="Q8" s="47" t="str">
        <f t="shared" si="2"/>
        <v>0000127</v>
      </c>
      <c r="R8" s="46">
        <v>4212300000</v>
      </c>
      <c r="S8" s="46"/>
      <c r="T8" s="47" t="s">
        <v>39</v>
      </c>
      <c r="U8" s="46" t="s">
        <v>40</v>
      </c>
      <c r="V8" s="49">
        <v>4</v>
      </c>
      <c r="W8" s="48" t="s">
        <v>41</v>
      </c>
      <c r="X8" s="48" t="s">
        <v>41</v>
      </c>
    </row>
    <row r="9" spans="1:26" x14ac:dyDescent="0.25">
      <c r="A9" s="40"/>
      <c r="B9" s="40"/>
      <c r="C9" s="41"/>
      <c r="D9" s="42"/>
      <c r="E9" s="43"/>
      <c r="F9" s="43"/>
      <c r="G9" s="40"/>
      <c r="H9" s="44"/>
      <c r="I9" s="44"/>
      <c r="J9" s="43"/>
      <c r="K9" s="43"/>
      <c r="L9" s="40"/>
      <c r="M9" s="43"/>
      <c r="N9" s="45"/>
      <c r="O9" s="46"/>
      <c r="P9" s="46"/>
      <c r="Q9" s="47"/>
      <c r="R9" s="46"/>
      <c r="S9" s="46"/>
      <c r="T9" s="47"/>
      <c r="U9" s="46"/>
    </row>
    <row r="10" spans="1:26" x14ac:dyDescent="0.25">
      <c r="A10" s="40"/>
      <c r="B10" s="40"/>
      <c r="C10" s="41"/>
      <c r="D10" s="42"/>
      <c r="E10" s="43"/>
      <c r="F10" s="43"/>
      <c r="G10" s="40"/>
      <c r="H10" s="44"/>
      <c r="I10" s="44"/>
      <c r="J10" s="43"/>
      <c r="K10" s="43"/>
      <c r="L10" s="40"/>
      <c r="M10" s="43"/>
      <c r="N10" s="45"/>
      <c r="O10" s="46"/>
      <c r="P10" s="46"/>
      <c r="Q10" s="47"/>
      <c r="R10" s="46"/>
      <c r="S10" s="46"/>
      <c r="T10" s="47"/>
      <c r="U10" s="46"/>
      <c r="V10" s="46"/>
    </row>
    <row r="11" spans="1:26" x14ac:dyDescent="0.25">
      <c r="A11" s="40"/>
      <c r="B11" s="40"/>
      <c r="D11" s="42"/>
      <c r="E11" s="43"/>
      <c r="G11" s="40"/>
      <c r="H11" s="44"/>
      <c r="J11" s="43"/>
      <c r="K11" s="43"/>
      <c r="L11" s="40"/>
      <c r="M11" s="43"/>
      <c r="N11" s="45"/>
      <c r="O11" s="46"/>
      <c r="P11" s="46"/>
      <c r="Q11" s="47"/>
      <c r="R11" s="46"/>
      <c r="S11" s="46"/>
      <c r="T11" s="47"/>
      <c r="U11" s="46"/>
      <c r="V11" s="46"/>
    </row>
    <row r="12" spans="1:26" x14ac:dyDescent="0.25">
      <c r="A12" s="40"/>
      <c r="B12" s="40"/>
      <c r="D12" s="42"/>
      <c r="E12" s="43"/>
      <c r="G12" s="40"/>
      <c r="H12" s="44"/>
      <c r="J12" s="43"/>
      <c r="K12" s="43"/>
      <c r="L12" s="40"/>
      <c r="M12" s="43"/>
      <c r="N12" s="45"/>
      <c r="O12" s="46"/>
      <c r="P12" s="46"/>
      <c r="Q12" s="47"/>
      <c r="R12" s="46"/>
      <c r="S12" s="46"/>
      <c r="T12" s="47"/>
      <c r="U12" s="46"/>
      <c r="V12" s="46"/>
    </row>
    <row r="13" spans="1:26" x14ac:dyDescent="0.25">
      <c r="A13" s="40"/>
      <c r="B13" s="40"/>
      <c r="D13" s="42"/>
      <c r="E13" s="43"/>
      <c r="G13" s="40"/>
      <c r="H13" s="44"/>
      <c r="J13" s="43"/>
      <c r="K13" s="43"/>
      <c r="L13" s="40"/>
      <c r="M13" s="43"/>
      <c r="N13" s="45"/>
      <c r="O13" s="46"/>
      <c r="P13" s="46"/>
      <c r="Q13" s="47"/>
      <c r="R13" s="46"/>
      <c r="S13" s="46"/>
      <c r="T13" s="47"/>
      <c r="U13" s="46"/>
      <c r="V13" s="46"/>
    </row>
    <row r="14" spans="1:26" x14ac:dyDescent="0.25">
      <c r="A14" s="40"/>
      <c r="B14" s="40"/>
      <c r="D14" s="42"/>
      <c r="E14" s="43"/>
      <c r="G14" s="40"/>
      <c r="H14" s="44"/>
      <c r="J14" s="43"/>
      <c r="K14" s="43"/>
      <c r="L14" s="40"/>
      <c r="M14" s="43"/>
      <c r="N14" s="45"/>
      <c r="O14" s="46"/>
      <c r="P14" s="46"/>
      <c r="Q14" s="47"/>
      <c r="R14" s="46"/>
      <c r="S14" s="46"/>
      <c r="T14" s="47"/>
      <c r="U14" s="46"/>
      <c r="V14" s="46"/>
    </row>
    <row r="15" spans="1:26" x14ac:dyDescent="0.25">
      <c r="A15" s="40"/>
      <c r="B15" s="40"/>
      <c r="D15" s="42"/>
      <c r="E15" s="43"/>
      <c r="G15" s="40"/>
      <c r="H15" s="44"/>
      <c r="J15" s="43"/>
      <c r="K15" s="43"/>
      <c r="L15" s="40"/>
      <c r="M15" s="43"/>
      <c r="N15" s="45"/>
      <c r="O15" s="46"/>
      <c r="P15" s="46"/>
      <c r="Q15" s="47"/>
      <c r="R15" s="46"/>
      <c r="S15" s="46"/>
      <c r="T15" s="47"/>
      <c r="U15" s="46"/>
      <c r="V15" s="46"/>
    </row>
    <row r="16" spans="1:26" x14ac:dyDescent="0.25">
      <c r="A16" s="40"/>
      <c r="B16" s="40"/>
      <c r="D16" s="42"/>
      <c r="E16" s="43"/>
      <c r="G16" s="40"/>
      <c r="H16" s="44"/>
      <c r="J16" s="43"/>
      <c r="K16" s="43"/>
      <c r="L16" s="40"/>
      <c r="M16" s="43"/>
      <c r="N16" s="45"/>
      <c r="O16" s="46"/>
      <c r="P16" s="46"/>
      <c r="Q16" s="47"/>
      <c r="R16" s="46"/>
      <c r="S16" s="46"/>
      <c r="T16" s="47"/>
      <c r="U16" s="46"/>
      <c r="V16" s="46"/>
    </row>
    <row r="17" spans="1:22" x14ac:dyDescent="0.25">
      <c r="A17" s="40"/>
      <c r="B17" s="40"/>
      <c r="D17" s="42"/>
      <c r="E17" s="43"/>
      <c r="G17" s="40"/>
      <c r="H17" s="44"/>
      <c r="J17" s="43"/>
      <c r="K17" s="43"/>
      <c r="L17" s="40"/>
      <c r="M17" s="43"/>
      <c r="N17" s="45"/>
      <c r="O17" s="46"/>
      <c r="P17" s="46"/>
      <c r="Q17" s="47"/>
      <c r="R17" s="46"/>
      <c r="S17" s="46"/>
      <c r="T17" s="47"/>
      <c r="U17" s="46"/>
      <c r="V17" s="46"/>
    </row>
    <row r="18" spans="1:22" x14ac:dyDescent="0.25">
      <c r="A18" s="40"/>
      <c r="B18" s="40"/>
      <c r="D18" s="42"/>
      <c r="E18" s="43"/>
      <c r="G18" s="40"/>
      <c r="H18" s="44"/>
      <c r="J18" s="43"/>
      <c r="K18" s="43"/>
      <c r="L18" s="40"/>
      <c r="M18" s="43"/>
      <c r="N18" s="45"/>
      <c r="O18" s="46"/>
      <c r="P18" s="46"/>
      <c r="Q18" s="47"/>
      <c r="R18" s="46"/>
      <c r="S18" s="46"/>
      <c r="T18" s="47"/>
      <c r="U18" s="46"/>
      <c r="V18" s="46"/>
    </row>
    <row r="19" spans="1:22" x14ac:dyDescent="0.25">
      <c r="A19" s="40"/>
      <c r="B19" s="40"/>
      <c r="D19" s="42"/>
      <c r="E19" s="43"/>
      <c r="G19" s="40"/>
      <c r="H19" s="44"/>
      <c r="J19" s="43"/>
      <c r="K19" s="43"/>
      <c r="L19" s="40"/>
      <c r="M19" s="43"/>
      <c r="N19" s="45"/>
      <c r="O19" s="46"/>
      <c r="P19" s="46"/>
      <c r="Q19" s="47"/>
      <c r="R19" s="46"/>
      <c r="S19" s="46"/>
      <c r="T19" s="47"/>
      <c r="U19" s="46"/>
      <c r="V19" s="46"/>
    </row>
    <row r="20" spans="1:22" x14ac:dyDescent="0.25">
      <c r="A20" s="40"/>
      <c r="B20" s="40"/>
      <c r="D20" s="42"/>
      <c r="E20" s="43"/>
      <c r="G20" s="40"/>
      <c r="H20" s="44"/>
      <c r="J20" s="43"/>
      <c r="K20" s="43"/>
      <c r="L20" s="40"/>
      <c r="M20" s="43"/>
      <c r="N20" s="45"/>
      <c r="O20" s="46"/>
      <c r="P20" s="46"/>
      <c r="Q20" s="47"/>
      <c r="R20" s="46"/>
      <c r="S20" s="46"/>
      <c r="T20" s="47"/>
      <c r="U20" s="46"/>
      <c r="V20" s="46"/>
    </row>
    <row r="21" spans="1:22" x14ac:dyDescent="0.25">
      <c r="A21" s="40"/>
      <c r="B21" s="40"/>
      <c r="D21" s="42"/>
      <c r="E21" s="43"/>
      <c r="G21" s="40"/>
      <c r="H21" s="44"/>
      <c r="J21" s="43"/>
      <c r="K21" s="43"/>
      <c r="L21" s="40"/>
      <c r="M21" s="43"/>
      <c r="N21" s="45"/>
      <c r="O21" s="46"/>
      <c r="P21" s="46"/>
      <c r="Q21" s="47"/>
      <c r="R21" s="46"/>
      <c r="S21" s="46"/>
      <c r="T21" s="47"/>
      <c r="U21" s="46"/>
      <c r="V21" s="46"/>
    </row>
    <row r="22" spans="1:22" x14ac:dyDescent="0.25">
      <c r="A22" s="40"/>
      <c r="B22" s="40"/>
      <c r="D22" s="42"/>
      <c r="E22" s="43"/>
      <c r="G22" s="40"/>
      <c r="H22" s="44"/>
      <c r="J22" s="43"/>
      <c r="K22" s="43"/>
      <c r="L22" s="40"/>
      <c r="M22" s="43"/>
      <c r="N22" s="45"/>
      <c r="O22" s="46"/>
      <c r="P22" s="46"/>
      <c r="Q22" s="47"/>
      <c r="R22" s="46"/>
      <c r="S22" s="46"/>
      <c r="T22" s="47"/>
      <c r="U22" s="46"/>
      <c r="V22" s="46"/>
    </row>
    <row r="23" spans="1:22" x14ac:dyDescent="0.25">
      <c r="A23" s="40"/>
      <c r="B23" s="40"/>
      <c r="D23" s="42"/>
      <c r="E23" s="43"/>
      <c r="G23" s="40"/>
      <c r="H23" s="44"/>
      <c r="J23" s="43"/>
      <c r="K23" s="43"/>
      <c r="L23" s="40"/>
      <c r="M23" s="43"/>
      <c r="N23" s="45"/>
      <c r="O23" s="46"/>
      <c r="P23" s="46"/>
      <c r="Q23" s="47"/>
      <c r="R23" s="46"/>
      <c r="S23" s="46"/>
      <c r="T23" s="47"/>
      <c r="U23" s="46"/>
      <c r="V23" s="46"/>
    </row>
    <row r="24" spans="1:22" x14ac:dyDescent="0.25">
      <c r="A24" s="40"/>
      <c r="B24" s="40"/>
      <c r="D24" s="42"/>
      <c r="E24" s="43"/>
      <c r="G24" s="40"/>
      <c r="H24" s="44"/>
      <c r="J24" s="43"/>
      <c r="K24" s="43"/>
      <c r="L24" s="40"/>
      <c r="M24" s="43"/>
      <c r="N24" s="45"/>
      <c r="O24" s="46"/>
      <c r="P24" s="46"/>
      <c r="Q24" s="47"/>
      <c r="R24" s="46"/>
      <c r="S24" s="46"/>
      <c r="T24" s="47"/>
      <c r="U24" s="46"/>
      <c r="V24" s="46"/>
    </row>
    <row r="25" spans="1:22" x14ac:dyDescent="0.25">
      <c r="A25" s="40"/>
      <c r="B25" s="40"/>
      <c r="D25" s="42"/>
      <c r="E25" s="43"/>
      <c r="G25" s="40"/>
      <c r="H25" s="44"/>
      <c r="J25" s="43"/>
      <c r="K25" s="43"/>
      <c r="L25" s="40"/>
      <c r="M25" s="43"/>
      <c r="N25" s="45"/>
      <c r="O25" s="46"/>
      <c r="P25" s="46"/>
      <c r="Q25" s="47"/>
      <c r="R25" s="46"/>
      <c r="S25" s="46"/>
      <c r="T25" s="47"/>
      <c r="U25" s="46"/>
      <c r="V25" s="46"/>
    </row>
    <row r="26" spans="1:22" x14ac:dyDescent="0.25">
      <c r="A26" s="40"/>
      <c r="B26" s="40"/>
      <c r="D26" s="42"/>
      <c r="E26" s="43"/>
      <c r="G26" s="40"/>
      <c r="H26" s="44"/>
      <c r="J26" s="43"/>
      <c r="K26" s="43"/>
      <c r="L26" s="40"/>
      <c r="M26" s="43"/>
      <c r="N26" s="45"/>
      <c r="O26" s="46"/>
      <c r="P26" s="46"/>
      <c r="Q26" s="47"/>
      <c r="R26" s="46"/>
      <c r="S26" s="46"/>
      <c r="T26" s="47"/>
      <c r="U26" s="46"/>
      <c r="V26" s="46"/>
    </row>
    <row r="27" spans="1:22" x14ac:dyDescent="0.25">
      <c r="A27" s="40"/>
      <c r="B27" s="40"/>
      <c r="D27" s="42"/>
      <c r="E27" s="43"/>
      <c r="G27" s="40"/>
      <c r="H27" s="44"/>
      <c r="J27" s="43"/>
      <c r="K27" s="43"/>
      <c r="L27" s="40"/>
      <c r="M27" s="43"/>
      <c r="N27" s="45"/>
      <c r="O27" s="46"/>
      <c r="P27" s="46"/>
      <c r="Q27" s="47"/>
      <c r="R27" s="46"/>
      <c r="S27" s="46"/>
      <c r="T27" s="47"/>
      <c r="U27" s="46"/>
      <c r="V27" s="46"/>
    </row>
    <row r="28" spans="1:22" x14ac:dyDescent="0.25">
      <c r="A28" s="40"/>
      <c r="B28" s="40"/>
      <c r="D28" s="42"/>
      <c r="E28" s="43"/>
      <c r="G28" s="40"/>
      <c r="H28" s="44"/>
      <c r="J28" s="43"/>
      <c r="K28" s="43"/>
      <c r="L28" s="40"/>
      <c r="M28" s="43"/>
      <c r="N28" s="45"/>
      <c r="O28" s="46"/>
      <c r="P28" s="46"/>
      <c r="Q28" s="47"/>
      <c r="R28" s="46"/>
      <c r="S28" s="46"/>
      <c r="T28" s="47"/>
      <c r="U28" s="46"/>
      <c r="V28" s="46"/>
    </row>
    <row r="29" spans="1:22" x14ac:dyDescent="0.25">
      <c r="A29" s="40"/>
      <c r="B29" s="40"/>
      <c r="D29" s="42"/>
      <c r="E29" s="43"/>
      <c r="G29" s="40"/>
      <c r="H29" s="44"/>
      <c r="J29" s="43"/>
      <c r="K29" s="43"/>
      <c r="L29" s="40"/>
      <c r="M29" s="43"/>
      <c r="N29" s="45"/>
      <c r="O29" s="46"/>
      <c r="P29" s="46"/>
      <c r="Q29" s="47"/>
      <c r="R29" s="46"/>
      <c r="S29" s="46"/>
      <c r="T29" s="47"/>
      <c r="U29" s="46"/>
      <c r="V29" s="46"/>
    </row>
    <row r="30" spans="1:22" x14ac:dyDescent="0.25">
      <c r="A30" s="40"/>
      <c r="B30" s="40"/>
      <c r="D30" s="42"/>
      <c r="E30" s="43"/>
      <c r="G30" s="40"/>
      <c r="H30" s="44"/>
      <c r="J30" s="43"/>
      <c r="K30" s="43"/>
      <c r="L30" s="40"/>
      <c r="M30" s="43"/>
      <c r="N30" s="45"/>
      <c r="O30" s="46"/>
      <c r="P30" s="46"/>
      <c r="Q30" s="47"/>
      <c r="R30" s="46"/>
      <c r="S30" s="46"/>
      <c r="T30" s="47"/>
      <c r="U30" s="46"/>
      <c r="V30" s="46"/>
    </row>
    <row r="31" spans="1:22" x14ac:dyDescent="0.25">
      <c r="A31" s="40"/>
      <c r="B31" s="40"/>
      <c r="D31" s="42"/>
      <c r="E31" s="43"/>
      <c r="G31" s="40"/>
      <c r="H31" s="44"/>
      <c r="J31" s="43"/>
      <c r="K31" s="43"/>
      <c r="L31" s="40"/>
      <c r="M31" s="43"/>
      <c r="N31" s="45"/>
      <c r="O31" s="46"/>
      <c r="P31" s="46"/>
      <c r="Q31" s="47"/>
      <c r="R31" s="46"/>
      <c r="S31" s="46"/>
      <c r="T31" s="47"/>
      <c r="U31" s="46"/>
      <c r="V31" s="46"/>
    </row>
    <row r="32" spans="1:22" x14ac:dyDescent="0.25">
      <c r="A32" s="40"/>
      <c r="B32" s="40"/>
      <c r="D32" s="42"/>
      <c r="E32" s="43"/>
      <c r="G32" s="40"/>
      <c r="H32" s="44"/>
      <c r="J32" s="43"/>
      <c r="K32" s="43"/>
      <c r="L32" s="40"/>
      <c r="M32" s="43"/>
      <c r="N32" s="45"/>
      <c r="O32" s="46"/>
      <c r="P32" s="46"/>
      <c r="Q32" s="47"/>
      <c r="R32" s="46"/>
      <c r="S32" s="46"/>
      <c r="T32" s="47"/>
      <c r="U32" s="46"/>
      <c r="V32" s="46"/>
    </row>
    <row r="33" spans="1:22" x14ac:dyDescent="0.25">
      <c r="A33" s="40"/>
      <c r="B33" s="40"/>
      <c r="D33" s="42"/>
      <c r="E33" s="43"/>
      <c r="G33" s="40"/>
      <c r="H33" s="44"/>
      <c r="J33" s="43"/>
      <c r="K33" s="43"/>
      <c r="L33" s="40"/>
      <c r="M33" s="43"/>
      <c r="N33" s="45"/>
      <c r="O33" s="46"/>
      <c r="P33" s="46"/>
      <c r="Q33" s="47"/>
      <c r="R33" s="46"/>
      <c r="S33" s="46"/>
      <c r="T33" s="47"/>
      <c r="U33" s="46"/>
      <c r="V33" s="46"/>
    </row>
    <row r="34" spans="1:22" x14ac:dyDescent="0.25">
      <c r="A34" s="40"/>
      <c r="B34" s="40"/>
      <c r="D34" s="42"/>
      <c r="E34" s="43"/>
      <c r="G34" s="40"/>
      <c r="H34" s="44"/>
      <c r="J34" s="43"/>
      <c r="K34" s="43"/>
      <c r="L34" s="40"/>
      <c r="M34" s="43"/>
      <c r="N34" s="45"/>
      <c r="O34" s="46"/>
      <c r="P34" s="46"/>
      <c r="Q34" s="47"/>
      <c r="R34" s="46"/>
      <c r="S34" s="46"/>
      <c r="T34" s="47"/>
      <c r="U34" s="46"/>
      <c r="V34" s="46"/>
    </row>
    <row r="35" spans="1:22" x14ac:dyDescent="0.25">
      <c r="A35" s="40"/>
      <c r="B35" s="40"/>
      <c r="E35" s="43"/>
      <c r="G35" s="40"/>
      <c r="H35" s="44"/>
      <c r="J35" s="43"/>
      <c r="K35" s="43"/>
      <c r="L35" s="40"/>
      <c r="M35" s="43"/>
      <c r="N35" s="45"/>
      <c r="O35" s="46"/>
      <c r="P35" s="46"/>
      <c r="Q35" s="47"/>
      <c r="R35" s="46"/>
      <c r="S35" s="46"/>
      <c r="T35" s="47"/>
      <c r="U35" s="46"/>
      <c r="V35" s="46"/>
    </row>
    <row r="36" spans="1:22" x14ac:dyDescent="0.25">
      <c r="A36" s="40"/>
      <c r="B36" s="40"/>
      <c r="E36" s="43"/>
      <c r="G36" s="40"/>
      <c r="H36" s="44"/>
      <c r="J36" s="43"/>
      <c r="K36" s="43"/>
      <c r="L36" s="40"/>
      <c r="M36" s="43"/>
      <c r="N36" s="45"/>
      <c r="O36" s="46"/>
      <c r="P36" s="46"/>
      <c r="Q36" s="47"/>
      <c r="R36" s="46"/>
      <c r="S36" s="46"/>
      <c r="T36" s="47"/>
      <c r="U36" s="46"/>
      <c r="V36" s="46"/>
    </row>
    <row r="37" spans="1:22" x14ac:dyDescent="0.25">
      <c r="A37" s="40"/>
      <c r="B37" s="40"/>
      <c r="E37" s="43"/>
      <c r="G37" s="40"/>
      <c r="H37" s="44"/>
      <c r="J37" s="43"/>
      <c r="K37" s="43"/>
      <c r="L37" s="40"/>
      <c r="M37" s="43"/>
      <c r="N37" s="45"/>
      <c r="O37" s="46"/>
      <c r="P37" s="46"/>
      <c r="Q37" s="47"/>
      <c r="R37" s="46"/>
      <c r="S37" s="46"/>
      <c r="T37" s="47"/>
      <c r="U37" s="46"/>
      <c r="V37" s="46"/>
    </row>
    <row r="38" spans="1:22" x14ac:dyDescent="0.25">
      <c r="A38" s="40"/>
      <c r="B38" s="40"/>
      <c r="E38" s="43"/>
      <c r="G38" s="40"/>
      <c r="H38" s="44"/>
      <c r="J38" s="43"/>
      <c r="K38" s="43"/>
      <c r="L38" s="40"/>
      <c r="M38" s="43"/>
      <c r="N38" s="45"/>
      <c r="O38" s="46"/>
      <c r="P38" s="46"/>
      <c r="Q38" s="47"/>
      <c r="R38" s="46"/>
      <c r="S38" s="46"/>
      <c r="T38" s="47"/>
      <c r="U38" s="46"/>
      <c r="V38" s="46"/>
    </row>
    <row r="39" spans="1:22" x14ac:dyDescent="0.25">
      <c r="A39" s="40"/>
      <c r="B39" s="40"/>
      <c r="E39" s="43"/>
      <c r="G39" s="40"/>
      <c r="H39" s="44"/>
      <c r="J39" s="43"/>
      <c r="K39" s="43"/>
      <c r="L39" s="40"/>
      <c r="M39" s="43"/>
      <c r="N39" s="45"/>
      <c r="O39" s="46"/>
      <c r="P39" s="46"/>
      <c r="Q39" s="47"/>
      <c r="R39" s="46"/>
      <c r="S39" s="46"/>
      <c r="T39" s="47"/>
      <c r="U39" s="46"/>
      <c r="V39" s="46"/>
    </row>
    <row r="40" spans="1:22" x14ac:dyDescent="0.25">
      <c r="A40" s="40"/>
      <c r="B40" s="40"/>
      <c r="E40" s="43"/>
      <c r="G40" s="40"/>
      <c r="H40" s="44"/>
      <c r="J40" s="43"/>
      <c r="K40" s="43"/>
      <c r="L40" s="40"/>
      <c r="M40" s="43"/>
      <c r="N40" s="45"/>
      <c r="O40" s="46"/>
      <c r="P40" s="46"/>
      <c r="Q40" s="47"/>
      <c r="R40" s="46"/>
      <c r="S40" s="46"/>
      <c r="T40" s="47"/>
      <c r="U40" s="46"/>
      <c r="V40" s="46"/>
    </row>
    <row r="41" spans="1:22" x14ac:dyDescent="0.25">
      <c r="A41" s="40"/>
      <c r="B41" s="40"/>
      <c r="E41" s="43"/>
      <c r="G41" s="40"/>
      <c r="H41" s="44"/>
      <c r="J41" s="43"/>
      <c r="K41" s="43"/>
      <c r="L41" s="40"/>
      <c r="M41" s="43"/>
      <c r="N41" s="45"/>
      <c r="O41" s="46"/>
      <c r="P41" s="46"/>
      <c r="Q41" s="47"/>
      <c r="R41" s="46"/>
      <c r="S41" s="46"/>
      <c r="T41" s="47"/>
      <c r="U41" s="46"/>
      <c r="V41" s="46"/>
    </row>
    <row r="42" spans="1:22" x14ac:dyDescent="0.25">
      <c r="A42" s="40"/>
      <c r="B42" s="40"/>
      <c r="E42" s="43"/>
      <c r="G42" s="40"/>
      <c r="H42" s="44"/>
      <c r="J42" s="43"/>
      <c r="K42" s="43"/>
      <c r="L42" s="40"/>
      <c r="M42" s="43"/>
      <c r="N42" s="45"/>
      <c r="O42" s="46"/>
      <c r="P42" s="46"/>
      <c r="Q42" s="47"/>
      <c r="R42" s="46"/>
      <c r="S42" s="46"/>
      <c r="T42" s="47"/>
      <c r="U42" s="46"/>
      <c r="V42" s="46"/>
    </row>
    <row r="43" spans="1:22" x14ac:dyDescent="0.25">
      <c r="A43" s="40"/>
      <c r="B43" s="40"/>
      <c r="E43" s="43"/>
      <c r="G43" s="40"/>
      <c r="H43" s="44"/>
      <c r="J43" s="43"/>
      <c r="K43" s="43"/>
      <c r="L43" s="40"/>
      <c r="M43" s="43"/>
      <c r="N43" s="45"/>
      <c r="O43" s="46"/>
      <c r="P43" s="46"/>
      <c r="Q43" s="47"/>
      <c r="R43" s="46"/>
      <c r="S43" s="46"/>
      <c r="T43" s="47"/>
      <c r="U43" s="46"/>
      <c r="V43" s="46"/>
    </row>
    <row r="44" spans="1:22" x14ac:dyDescent="0.25">
      <c r="A44" s="40"/>
      <c r="B44" s="40"/>
      <c r="E44" s="43"/>
      <c r="G44" s="40"/>
      <c r="H44" s="44"/>
      <c r="J44" s="43"/>
      <c r="K44" s="43"/>
      <c r="L44" s="40"/>
      <c r="M44" s="43"/>
      <c r="N44" s="45"/>
      <c r="O44" s="46"/>
      <c r="P44" s="46"/>
      <c r="Q44" s="47"/>
      <c r="R44" s="46"/>
      <c r="S44" s="46"/>
      <c r="T44" s="47"/>
      <c r="U44" s="46"/>
      <c r="V44" s="46"/>
    </row>
    <row r="45" spans="1:22" x14ac:dyDescent="0.25">
      <c r="A45" s="40"/>
      <c r="B45" s="40"/>
      <c r="E45" s="43"/>
      <c r="G45" s="40"/>
      <c r="H45" s="44"/>
      <c r="J45" s="43"/>
      <c r="K45" s="43"/>
      <c r="L45" s="40"/>
      <c r="M45" s="43"/>
      <c r="N45" s="45"/>
      <c r="O45" s="46"/>
      <c r="P45" s="46"/>
      <c r="Q45" s="47"/>
      <c r="R45" s="46"/>
      <c r="S45" s="46"/>
      <c r="T45" s="47"/>
      <c r="U45" s="46"/>
      <c r="V45" s="46"/>
    </row>
    <row r="46" spans="1:22" x14ac:dyDescent="0.25">
      <c r="A46" s="40"/>
      <c r="B46" s="40"/>
      <c r="E46" s="43"/>
      <c r="G46" s="40"/>
      <c r="H46" s="44"/>
      <c r="J46" s="43"/>
      <c r="K46" s="43"/>
      <c r="L46" s="40"/>
      <c r="M46" s="43"/>
      <c r="N46" s="45"/>
      <c r="O46" s="46"/>
      <c r="P46" s="46"/>
      <c r="Q46" s="47"/>
      <c r="R46" s="46"/>
      <c r="S46" s="46"/>
      <c r="T46" s="47"/>
      <c r="U46" s="46"/>
      <c r="V46" s="46"/>
    </row>
    <row r="47" spans="1:22" x14ac:dyDescent="0.25">
      <c r="A47" s="40"/>
      <c r="B47" s="40"/>
      <c r="E47" s="43"/>
      <c r="G47" s="40"/>
      <c r="H47" s="44"/>
      <c r="J47" s="43"/>
      <c r="K47" s="43"/>
      <c r="L47" s="40"/>
      <c r="M47" s="43"/>
      <c r="N47" s="45"/>
      <c r="O47" s="46"/>
      <c r="P47" s="46"/>
      <c r="Q47" s="47"/>
      <c r="R47" s="46"/>
      <c r="S47" s="46"/>
      <c r="T47" s="47"/>
      <c r="U47" s="46"/>
      <c r="V47" s="46"/>
    </row>
    <row r="48" spans="1:22" x14ac:dyDescent="0.25">
      <c r="A48" s="40"/>
      <c r="B48" s="40"/>
      <c r="E48" s="43"/>
      <c r="G48" s="40"/>
      <c r="H48" s="44"/>
      <c r="J48" s="43"/>
      <c r="K48" s="43"/>
      <c r="L48" s="40"/>
      <c r="M48" s="43"/>
      <c r="N48" s="45"/>
      <c r="O48" s="46"/>
      <c r="P48" s="46"/>
      <c r="Q48" s="47"/>
      <c r="R48" s="46"/>
      <c r="S48" s="46"/>
      <c r="T48" s="47"/>
      <c r="U48" s="46"/>
      <c r="V48" s="46"/>
    </row>
    <row r="49" spans="1:22" x14ac:dyDescent="0.25">
      <c r="A49" s="40"/>
      <c r="B49" s="40"/>
      <c r="E49" s="43"/>
      <c r="G49" s="40"/>
      <c r="H49" s="44"/>
      <c r="J49" s="43"/>
      <c r="K49" s="43"/>
      <c r="L49" s="40"/>
      <c r="M49" s="43"/>
      <c r="N49" s="45"/>
      <c r="O49" s="46"/>
      <c r="P49" s="46"/>
      <c r="Q49" s="47"/>
      <c r="R49" s="46"/>
      <c r="S49" s="46"/>
      <c r="T49" s="47"/>
      <c r="U49" s="46"/>
      <c r="V49" s="46"/>
    </row>
    <row r="50" spans="1:22" x14ac:dyDescent="0.25">
      <c r="A50" s="40"/>
      <c r="B50" s="40"/>
      <c r="E50" s="43"/>
      <c r="G50" s="40"/>
      <c r="H50" s="44"/>
      <c r="J50" s="43"/>
      <c r="K50" s="43"/>
      <c r="L50" s="40"/>
      <c r="M50" s="43"/>
      <c r="N50" s="45"/>
      <c r="O50" s="46"/>
      <c r="P50" s="46"/>
      <c r="Q50" s="47"/>
      <c r="R50" s="46"/>
      <c r="S50" s="46"/>
      <c r="T50" s="47"/>
      <c r="U50" s="46"/>
      <c r="V50" s="46"/>
    </row>
    <row r="51" spans="1:22" x14ac:dyDescent="0.25">
      <c r="A51" s="40"/>
      <c r="B51" s="40"/>
      <c r="E51" s="43"/>
      <c r="G51" s="40"/>
      <c r="H51" s="44"/>
      <c r="J51" s="43"/>
      <c r="K51" s="43"/>
      <c r="L51" s="40"/>
      <c r="M51" s="43"/>
      <c r="N51" s="45"/>
      <c r="O51" s="46"/>
      <c r="P51" s="46"/>
      <c r="Q51" s="47"/>
      <c r="R51" s="46"/>
      <c r="S51" s="46"/>
      <c r="T51" s="47"/>
      <c r="U51" s="46"/>
      <c r="V51" s="46"/>
    </row>
    <row r="52" spans="1:22" x14ac:dyDescent="0.25">
      <c r="A52" s="40"/>
      <c r="B52" s="40"/>
      <c r="E52" s="43"/>
      <c r="G52" s="40"/>
      <c r="H52" s="44"/>
      <c r="J52" s="43"/>
      <c r="K52" s="43"/>
      <c r="L52" s="40"/>
      <c r="M52" s="43"/>
      <c r="N52" s="45"/>
      <c r="O52" s="46"/>
      <c r="P52" s="46"/>
      <c r="Q52" s="47"/>
      <c r="R52" s="46"/>
      <c r="S52" s="46"/>
      <c r="T52" s="47"/>
      <c r="U52" s="46"/>
      <c r="V52" s="46"/>
    </row>
    <row r="53" spans="1:22" x14ac:dyDescent="0.25">
      <c r="A53" s="40"/>
      <c r="B53" s="40"/>
      <c r="E53" s="43"/>
      <c r="G53" s="40"/>
      <c r="H53" s="44"/>
      <c r="J53" s="43"/>
      <c r="K53" s="43"/>
      <c r="L53" s="40"/>
      <c r="M53" s="43"/>
      <c r="N53" s="45"/>
      <c r="O53" s="46"/>
      <c r="P53" s="46"/>
      <c r="Q53" s="47"/>
      <c r="R53" s="46"/>
      <c r="S53" s="46"/>
      <c r="T53" s="47"/>
      <c r="U53" s="46"/>
      <c r="V53" s="46"/>
    </row>
    <row r="54" spans="1:22" x14ac:dyDescent="0.25">
      <c r="A54" s="40"/>
      <c r="B54" s="40"/>
      <c r="E54" s="43"/>
      <c r="G54" s="40"/>
      <c r="H54" s="44"/>
      <c r="J54" s="43"/>
      <c r="K54" s="43"/>
      <c r="L54" s="40"/>
      <c r="M54" s="43"/>
      <c r="N54" s="45"/>
      <c r="O54" s="46"/>
      <c r="P54" s="46"/>
      <c r="Q54" s="47"/>
      <c r="R54" s="46"/>
      <c r="S54" s="46"/>
      <c r="T54" s="47"/>
      <c r="U54" s="46"/>
      <c r="V54" s="46"/>
    </row>
    <row r="55" spans="1:22" x14ac:dyDescent="0.25">
      <c r="A55" s="40"/>
      <c r="B55" s="40"/>
      <c r="E55" s="43"/>
      <c r="G55" s="40"/>
      <c r="H55" s="44"/>
      <c r="J55" s="43"/>
      <c r="K55" s="43"/>
      <c r="L55" s="40"/>
      <c r="M55" s="43"/>
      <c r="N55" s="45"/>
      <c r="O55" s="46"/>
      <c r="P55" s="46"/>
      <c r="Q55" s="47"/>
      <c r="R55" s="46"/>
      <c r="S55" s="46"/>
      <c r="T55" s="47"/>
      <c r="U55" s="46"/>
      <c r="V55" s="46"/>
    </row>
    <row r="56" spans="1:22" x14ac:dyDescent="0.25">
      <c r="A56" s="40"/>
      <c r="B56" s="40"/>
      <c r="E56" s="43"/>
      <c r="G56" s="40"/>
      <c r="H56" s="44"/>
      <c r="J56" s="43"/>
      <c r="K56" s="43"/>
      <c r="L56" s="40"/>
      <c r="M56" s="43"/>
      <c r="N56" s="45"/>
      <c r="O56" s="46"/>
      <c r="P56" s="46"/>
      <c r="Q56" s="47"/>
      <c r="R56" s="46"/>
      <c r="S56" s="46"/>
      <c r="T56" s="47"/>
      <c r="U56" s="46"/>
      <c r="V56" s="46"/>
    </row>
    <row r="57" spans="1:22" x14ac:dyDescent="0.25">
      <c r="A57" s="40"/>
      <c r="H57" s="44"/>
      <c r="K57" s="43"/>
      <c r="L57" s="40"/>
      <c r="O57" s="43"/>
      <c r="P57" s="43"/>
      <c r="Q57" s="43"/>
    </row>
    <row r="58" spans="1:22" x14ac:dyDescent="0.25">
      <c r="A58" s="40"/>
      <c r="H58" s="44"/>
      <c r="K58" s="43"/>
      <c r="L58" s="40"/>
      <c r="O58" s="43"/>
      <c r="P58" s="43"/>
      <c r="Q58" s="43"/>
    </row>
    <row r="59" spans="1:22" x14ac:dyDescent="0.25">
      <c r="A59" s="40"/>
      <c r="H59" s="44"/>
      <c r="K59" s="43"/>
      <c r="L59" s="40"/>
      <c r="O59" s="43"/>
      <c r="P59" s="43"/>
      <c r="Q59" s="43"/>
    </row>
    <row r="60" spans="1:22" x14ac:dyDescent="0.25">
      <c r="A60" s="40"/>
      <c r="H60" s="44"/>
      <c r="K60" s="43"/>
      <c r="L60" s="40"/>
    </row>
    <row r="61" spans="1:22" x14ac:dyDescent="0.25">
      <c r="A61" s="40"/>
      <c r="H61" s="44"/>
      <c r="K61" s="43"/>
      <c r="L61" s="40"/>
    </row>
    <row r="62" spans="1:22" x14ac:dyDescent="0.25">
      <c r="A62" s="40"/>
      <c r="H62" s="44"/>
      <c r="K62" s="43"/>
      <c r="L62" s="40"/>
    </row>
    <row r="63" spans="1:22" x14ac:dyDescent="0.25">
      <c r="A63" s="40"/>
      <c r="H63" s="44"/>
      <c r="K63" s="43"/>
      <c r="L63" s="40"/>
    </row>
    <row r="64" spans="1:22" x14ac:dyDescent="0.25">
      <c r="H64" s="44"/>
    </row>
    <row r="65" spans="8:8" x14ac:dyDescent="0.25">
      <c r="H65" s="44"/>
    </row>
    <row r="66" spans="8:8" x14ac:dyDescent="0.25">
      <c r="H66" s="44"/>
    </row>
    <row r="67" spans="8:8" x14ac:dyDescent="0.25">
      <c r="H67" s="44"/>
    </row>
    <row r="68" spans="8:8" x14ac:dyDescent="0.25">
      <c r="H68" s="44"/>
    </row>
    <row r="69" spans="8:8" x14ac:dyDescent="0.25">
      <c r="H69" s="44"/>
    </row>
  </sheetData>
  <autoFilter ref="A1:R3" xr:uid="{6DBC4CDA-912F-430E-9E55-5A0747450EA0}"/>
  <phoneticPr fontId="39"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76FA-471A-45C3-89DC-A73D008B52E9}">
  <sheetPr>
    <tabColor rgb="FF0070C0"/>
  </sheetPr>
  <dimension ref="A1:J56"/>
  <sheetViews>
    <sheetView workbookViewId="0">
      <selection activeCell="K15" sqref="A1:K15"/>
    </sheetView>
  </sheetViews>
  <sheetFormatPr baseColWidth="10" defaultColWidth="9.1796875" defaultRowHeight="12.5" x14ac:dyDescent="0.25"/>
  <cols>
    <col min="1" max="1" width="9.453125" style="3" bestFit="1" customWidth="1"/>
    <col min="2" max="2" width="9.453125" style="3" customWidth="1"/>
    <col min="3" max="3" width="15" bestFit="1" customWidth="1"/>
    <col min="4" max="4" width="29.81640625" customWidth="1"/>
    <col min="5" max="5" width="14.26953125" bestFit="1" customWidth="1"/>
    <col min="6" max="6" width="13.6328125" customWidth="1"/>
    <col min="7" max="7" width="12.54296875" customWidth="1"/>
    <col min="8" max="8" width="22.453125" bestFit="1" customWidth="1"/>
    <col min="9" max="9" width="13.7265625" customWidth="1"/>
    <col min="10" max="10" width="11.6328125" customWidth="1"/>
  </cols>
  <sheetData>
    <row r="1" spans="1:10" ht="13" x14ac:dyDescent="0.3">
      <c r="A1" s="7" t="s">
        <v>45</v>
      </c>
      <c r="B1" s="7" t="s">
        <v>46</v>
      </c>
      <c r="C1" s="12" t="s">
        <v>47</v>
      </c>
      <c r="D1" s="11" t="s">
        <v>48</v>
      </c>
      <c r="E1" s="13" t="s">
        <v>49</v>
      </c>
      <c r="F1" s="14" t="s">
        <v>50</v>
      </c>
      <c r="G1" s="14" t="s">
        <v>161</v>
      </c>
      <c r="H1" s="23" t="s">
        <v>51</v>
      </c>
      <c r="I1" s="9" t="s">
        <v>174</v>
      </c>
      <c r="J1" s="9" t="s">
        <v>186</v>
      </c>
    </row>
    <row r="2" spans="1:10" ht="13" x14ac:dyDescent="0.3">
      <c r="A2" s="8" t="s">
        <v>0</v>
      </c>
      <c r="B2" s="7" t="s">
        <v>46</v>
      </c>
      <c r="C2" s="12" t="s">
        <v>52</v>
      </c>
      <c r="D2" s="11" t="s">
        <v>53</v>
      </c>
      <c r="E2" s="15" t="s">
        <v>54</v>
      </c>
      <c r="F2" s="14" t="s">
        <v>55</v>
      </c>
      <c r="G2" s="14" t="s">
        <v>156</v>
      </c>
      <c r="H2" s="24" t="s">
        <v>56</v>
      </c>
      <c r="I2" s="24" t="s">
        <v>187</v>
      </c>
      <c r="J2" s="24" t="s">
        <v>188</v>
      </c>
    </row>
    <row r="3" spans="1:10" x14ac:dyDescent="0.25">
      <c r="A3" s="4">
        <v>1</v>
      </c>
      <c r="B3" s="4">
        <v>0</v>
      </c>
      <c r="C3" s="6">
        <v>6313010000</v>
      </c>
      <c r="D3" s="29" t="s">
        <v>175</v>
      </c>
      <c r="E3" s="1">
        <v>50</v>
      </c>
      <c r="F3" s="5" t="s">
        <v>155</v>
      </c>
      <c r="G3" s="5" t="s">
        <v>158</v>
      </c>
      <c r="H3" t="s">
        <v>166</v>
      </c>
      <c r="I3" s="39" t="s">
        <v>103</v>
      </c>
    </row>
    <row r="4" spans="1:10" x14ac:dyDescent="0.25">
      <c r="A4" s="4">
        <v>2</v>
      </c>
      <c r="B4" s="4">
        <v>0</v>
      </c>
      <c r="C4" s="6">
        <v>6313010000</v>
      </c>
      <c r="D4" s="29" t="s">
        <v>175</v>
      </c>
      <c r="E4" s="1">
        <v>60</v>
      </c>
      <c r="F4" s="5" t="s">
        <v>155</v>
      </c>
      <c r="G4" s="5" t="s">
        <v>157</v>
      </c>
      <c r="H4" t="s">
        <v>166</v>
      </c>
      <c r="I4" s="39" t="s">
        <v>103</v>
      </c>
    </row>
    <row r="5" spans="1:10" x14ac:dyDescent="0.25">
      <c r="A5" s="4">
        <v>3</v>
      </c>
      <c r="B5" s="4">
        <v>0</v>
      </c>
      <c r="C5" s="6">
        <v>6313010000</v>
      </c>
      <c r="D5" s="29" t="s">
        <v>175</v>
      </c>
      <c r="E5" s="1">
        <v>70</v>
      </c>
      <c r="F5" s="5" t="s">
        <v>155</v>
      </c>
      <c r="G5" s="5" t="s">
        <v>159</v>
      </c>
      <c r="H5" t="s">
        <v>166</v>
      </c>
      <c r="I5" s="39" t="s">
        <v>103</v>
      </c>
    </row>
    <row r="6" spans="1:10" x14ac:dyDescent="0.25">
      <c r="A6" s="4">
        <v>4</v>
      </c>
      <c r="B6" s="4">
        <v>0</v>
      </c>
      <c r="C6" s="6">
        <v>6313010000</v>
      </c>
      <c r="D6" s="29" t="s">
        <v>175</v>
      </c>
      <c r="E6" s="1">
        <v>80</v>
      </c>
      <c r="F6" s="5" t="s">
        <v>155</v>
      </c>
      <c r="G6" s="5" t="s">
        <v>160</v>
      </c>
      <c r="H6" t="s">
        <v>166</v>
      </c>
      <c r="I6" s="39" t="s">
        <v>103</v>
      </c>
    </row>
    <row r="7" spans="1:10" x14ac:dyDescent="0.25">
      <c r="A7" s="4">
        <v>5</v>
      </c>
      <c r="B7" s="4">
        <v>0</v>
      </c>
      <c r="C7" s="6">
        <v>6313010000</v>
      </c>
      <c r="D7" s="29" t="s">
        <v>175</v>
      </c>
      <c r="E7" s="1">
        <v>90</v>
      </c>
      <c r="F7" s="5" t="s">
        <v>155</v>
      </c>
      <c r="G7" s="5" t="s">
        <v>160</v>
      </c>
      <c r="H7" t="s">
        <v>166</v>
      </c>
      <c r="I7" s="39" t="s">
        <v>103</v>
      </c>
    </row>
    <row r="8" spans="1:10" x14ac:dyDescent="0.25">
      <c r="A8" s="4">
        <v>6</v>
      </c>
      <c r="B8" s="4">
        <v>0</v>
      </c>
      <c r="C8" s="6">
        <v>6313010000</v>
      </c>
      <c r="D8" s="29" t="s">
        <v>175</v>
      </c>
      <c r="E8" s="1">
        <v>129</v>
      </c>
      <c r="F8" s="5" t="s">
        <v>155</v>
      </c>
      <c r="G8" s="5" t="s">
        <v>173</v>
      </c>
      <c r="H8" t="s">
        <v>166</v>
      </c>
      <c r="I8" s="39" t="s">
        <v>103</v>
      </c>
    </row>
    <row r="9" spans="1:10" x14ac:dyDescent="0.25">
      <c r="A9" s="4"/>
      <c r="B9" s="4"/>
      <c r="C9" s="6"/>
      <c r="D9" s="29"/>
      <c r="E9" s="1"/>
      <c r="F9" s="5"/>
      <c r="G9" s="5"/>
    </row>
    <row r="10" spans="1:10" x14ac:dyDescent="0.25">
      <c r="A10" s="4"/>
      <c r="B10" s="4"/>
      <c r="C10" s="6"/>
      <c r="D10" s="29"/>
      <c r="E10" s="1"/>
      <c r="F10" s="5"/>
      <c r="G10" s="5"/>
    </row>
    <row r="11" spans="1:10" x14ac:dyDescent="0.25">
      <c r="A11" s="4"/>
      <c r="B11" s="4"/>
      <c r="C11" s="6"/>
      <c r="D11" s="29"/>
      <c r="E11" s="1"/>
      <c r="F11" s="5"/>
      <c r="G11" s="5"/>
    </row>
    <row r="12" spans="1:10" x14ac:dyDescent="0.25">
      <c r="A12" s="4"/>
      <c r="B12" s="4"/>
      <c r="C12" s="6"/>
      <c r="D12" s="29"/>
      <c r="E12" s="1"/>
      <c r="F12" s="5"/>
      <c r="G12" s="5"/>
    </row>
    <row r="13" spans="1:10" x14ac:dyDescent="0.25">
      <c r="A13" s="4"/>
      <c r="B13" s="4"/>
      <c r="C13" s="6"/>
      <c r="D13" s="29"/>
      <c r="E13" s="1"/>
      <c r="F13" s="5"/>
      <c r="G13" s="5"/>
    </row>
    <row r="14" spans="1:10" x14ac:dyDescent="0.25">
      <c r="A14" s="4"/>
      <c r="B14" s="4"/>
      <c r="C14" s="6"/>
      <c r="D14" s="29"/>
      <c r="E14" s="1"/>
      <c r="F14" s="5"/>
      <c r="G14" s="5"/>
    </row>
    <row r="15" spans="1:10" x14ac:dyDescent="0.25">
      <c r="A15" s="4"/>
      <c r="B15" s="4"/>
      <c r="C15" s="6"/>
      <c r="D15" s="29"/>
      <c r="E15" s="1"/>
      <c r="F15" s="5"/>
      <c r="G15" s="5"/>
    </row>
    <row r="16" spans="1:10" x14ac:dyDescent="0.25">
      <c r="A16" s="4"/>
      <c r="B16" s="4"/>
      <c r="C16" s="6"/>
      <c r="D16" s="29"/>
      <c r="E16" s="1"/>
      <c r="F16" s="5"/>
      <c r="G16" s="5"/>
    </row>
    <row r="17" spans="1:7" x14ac:dyDescent="0.25">
      <c r="A17" s="4"/>
      <c r="B17" s="4"/>
      <c r="C17" s="6"/>
      <c r="D17" s="29"/>
      <c r="E17" s="1"/>
      <c r="F17" s="5"/>
      <c r="G17" s="5"/>
    </row>
    <row r="18" spans="1:7" x14ac:dyDescent="0.25">
      <c r="A18" s="4"/>
      <c r="B18" s="4"/>
      <c r="C18" s="6"/>
      <c r="D18" s="29"/>
      <c r="E18" s="1"/>
      <c r="F18" s="5"/>
      <c r="G18" s="5"/>
    </row>
    <row r="19" spans="1:7" x14ac:dyDescent="0.25">
      <c r="A19" s="4"/>
      <c r="B19" s="4"/>
      <c r="C19" s="6"/>
      <c r="D19" s="29"/>
      <c r="E19" s="1"/>
      <c r="F19" s="5"/>
      <c r="G19" s="5"/>
    </row>
    <row r="20" spans="1:7" x14ac:dyDescent="0.25">
      <c r="A20" s="4"/>
      <c r="B20" s="4"/>
      <c r="C20" s="6"/>
      <c r="D20" s="29"/>
      <c r="E20" s="1"/>
      <c r="F20" s="5"/>
      <c r="G20" s="5"/>
    </row>
    <row r="21" spans="1:7" x14ac:dyDescent="0.25">
      <c r="A21" s="4"/>
      <c r="B21" s="4"/>
      <c r="C21" s="6"/>
      <c r="D21" s="29"/>
      <c r="E21" s="1"/>
      <c r="F21" s="5"/>
      <c r="G21" s="5"/>
    </row>
    <row r="22" spans="1:7" x14ac:dyDescent="0.25">
      <c r="A22" s="4"/>
      <c r="B22" s="4"/>
      <c r="C22" s="6"/>
      <c r="D22" s="29"/>
      <c r="E22" s="1"/>
      <c r="F22" s="5"/>
      <c r="G22" s="5"/>
    </row>
    <row r="23" spans="1:7" x14ac:dyDescent="0.25">
      <c r="A23" s="4"/>
      <c r="B23" s="4"/>
      <c r="C23" s="6"/>
      <c r="D23" s="29"/>
      <c r="E23" s="1"/>
      <c r="F23" s="5"/>
      <c r="G23" s="5"/>
    </row>
    <row r="24" spans="1:7" x14ac:dyDescent="0.25">
      <c r="A24" s="4"/>
      <c r="B24" s="4"/>
      <c r="C24" s="6"/>
      <c r="D24" s="29"/>
      <c r="E24" s="1"/>
      <c r="F24" s="5"/>
      <c r="G24" s="5"/>
    </row>
    <row r="25" spans="1:7" x14ac:dyDescent="0.25">
      <c r="A25" s="4"/>
      <c r="B25" s="4"/>
      <c r="C25" s="6"/>
      <c r="D25" s="29"/>
      <c r="E25" s="1"/>
      <c r="F25" s="5"/>
      <c r="G25" s="5"/>
    </row>
    <row r="26" spans="1:7" x14ac:dyDescent="0.25">
      <c r="A26" s="4"/>
      <c r="B26" s="4"/>
      <c r="C26" s="6"/>
      <c r="D26" s="29"/>
      <c r="E26" s="1"/>
      <c r="F26" s="5"/>
      <c r="G26" s="5"/>
    </row>
    <row r="27" spans="1:7" x14ac:dyDescent="0.25">
      <c r="A27" s="4"/>
      <c r="B27" s="4"/>
      <c r="C27" s="6"/>
      <c r="D27" s="29"/>
      <c r="E27" s="1"/>
      <c r="F27" s="5"/>
      <c r="G27" s="5"/>
    </row>
    <row r="28" spans="1:7" x14ac:dyDescent="0.25">
      <c r="A28" s="4"/>
      <c r="B28" s="4"/>
      <c r="C28" s="6"/>
      <c r="D28" s="29"/>
      <c r="E28" s="1"/>
      <c r="F28" s="5"/>
      <c r="G28" s="5"/>
    </row>
    <row r="29" spans="1:7" x14ac:dyDescent="0.25">
      <c r="A29" s="4"/>
      <c r="B29" s="4"/>
      <c r="C29" s="6"/>
      <c r="D29" s="29"/>
      <c r="E29" s="1"/>
      <c r="F29" s="5"/>
      <c r="G29" s="5"/>
    </row>
    <row r="30" spans="1:7" x14ac:dyDescent="0.25">
      <c r="A30" s="4"/>
      <c r="B30" s="4"/>
      <c r="C30" s="6"/>
      <c r="D30" s="29"/>
      <c r="E30" s="1"/>
      <c r="F30" s="5"/>
      <c r="G30" s="5"/>
    </row>
    <row r="31" spans="1:7" x14ac:dyDescent="0.25">
      <c r="A31" s="4"/>
      <c r="B31" s="4"/>
      <c r="C31" s="6"/>
      <c r="D31" s="29"/>
      <c r="E31" s="1"/>
      <c r="F31" s="5"/>
      <c r="G31" s="5"/>
    </row>
    <row r="32" spans="1:7" x14ac:dyDescent="0.25">
      <c r="A32" s="4"/>
      <c r="B32" s="4"/>
      <c r="C32" s="6"/>
      <c r="D32" s="29"/>
      <c r="E32" s="1"/>
      <c r="F32" s="5"/>
      <c r="G32" s="5"/>
    </row>
    <row r="33" spans="1:7" x14ac:dyDescent="0.25">
      <c r="A33" s="4"/>
      <c r="B33" s="4"/>
      <c r="C33" s="6"/>
      <c r="D33" s="29"/>
      <c r="E33" s="1"/>
      <c r="F33" s="5"/>
      <c r="G33" s="5"/>
    </row>
    <row r="34" spans="1:7" x14ac:dyDescent="0.25">
      <c r="A34" s="4"/>
      <c r="B34" s="4"/>
      <c r="C34" s="6"/>
      <c r="D34" s="29"/>
      <c r="E34" s="1"/>
      <c r="F34" s="5"/>
      <c r="G34" s="5"/>
    </row>
    <row r="35" spans="1:7" x14ac:dyDescent="0.25">
      <c r="A35" s="4"/>
      <c r="B35" s="4"/>
      <c r="C35" s="6"/>
      <c r="D35" s="29"/>
      <c r="E35" s="1"/>
      <c r="F35" s="5"/>
      <c r="G35" s="5"/>
    </row>
    <row r="36" spans="1:7" x14ac:dyDescent="0.25">
      <c r="A36" s="4"/>
      <c r="B36" s="4"/>
      <c r="C36" s="6"/>
      <c r="D36" s="29"/>
      <c r="E36" s="1"/>
      <c r="F36" s="5"/>
      <c r="G36" s="5"/>
    </row>
    <row r="37" spans="1:7" x14ac:dyDescent="0.25">
      <c r="A37" s="4"/>
      <c r="B37" s="4"/>
      <c r="C37" s="6"/>
      <c r="D37" s="29"/>
      <c r="E37" s="1"/>
      <c r="F37" s="5"/>
      <c r="G37" s="5"/>
    </row>
    <row r="38" spans="1:7" x14ac:dyDescent="0.25">
      <c r="A38" s="4"/>
      <c r="B38" s="4"/>
      <c r="C38" s="6"/>
      <c r="D38" s="29"/>
      <c r="E38" s="1"/>
      <c r="F38" s="5"/>
      <c r="G38" s="5"/>
    </row>
    <row r="39" spans="1:7" x14ac:dyDescent="0.25">
      <c r="A39" s="4"/>
      <c r="B39" s="4"/>
      <c r="C39" s="6"/>
      <c r="D39" s="29"/>
      <c r="E39" s="1"/>
      <c r="F39" s="5"/>
      <c r="G39" s="5"/>
    </row>
    <row r="40" spans="1:7" x14ac:dyDescent="0.25">
      <c r="A40" s="4"/>
      <c r="B40" s="4"/>
      <c r="C40" s="6"/>
      <c r="D40" s="29"/>
      <c r="E40" s="1"/>
      <c r="F40" s="5"/>
      <c r="G40" s="5"/>
    </row>
    <row r="41" spans="1:7" x14ac:dyDescent="0.25">
      <c r="A41" s="4"/>
      <c r="B41" s="4"/>
      <c r="C41" s="6"/>
      <c r="D41" s="29"/>
      <c r="E41" s="1"/>
      <c r="F41" s="5"/>
      <c r="G41" s="5"/>
    </row>
    <row r="42" spans="1:7" x14ac:dyDescent="0.25">
      <c r="A42" s="4"/>
      <c r="B42" s="4"/>
      <c r="C42" s="6"/>
      <c r="D42" s="29"/>
      <c r="E42" s="1"/>
      <c r="F42" s="5"/>
      <c r="G42" s="5"/>
    </row>
    <row r="43" spans="1:7" x14ac:dyDescent="0.25">
      <c r="A43" s="4"/>
      <c r="B43" s="4"/>
      <c r="C43" s="6"/>
      <c r="D43" s="29"/>
      <c r="E43" s="1"/>
      <c r="F43" s="5"/>
      <c r="G43" s="5"/>
    </row>
    <row r="44" spans="1:7" x14ac:dyDescent="0.25">
      <c r="A44" s="4"/>
      <c r="B44" s="4"/>
      <c r="C44" s="6"/>
      <c r="D44" s="29"/>
      <c r="E44" s="1"/>
      <c r="F44" s="5"/>
      <c r="G44" s="5"/>
    </row>
    <row r="45" spans="1:7" x14ac:dyDescent="0.25">
      <c r="A45" s="4"/>
      <c r="B45" s="4"/>
      <c r="C45" s="6"/>
      <c r="D45" s="29"/>
      <c r="E45" s="1"/>
      <c r="F45" s="5"/>
      <c r="G45" s="5"/>
    </row>
    <row r="46" spans="1:7" x14ac:dyDescent="0.25">
      <c r="A46" s="4"/>
      <c r="B46" s="4"/>
      <c r="C46" s="6"/>
      <c r="D46" s="29"/>
      <c r="E46" s="1"/>
      <c r="F46" s="5"/>
      <c r="G46" s="5"/>
    </row>
    <row r="47" spans="1:7" x14ac:dyDescent="0.25">
      <c r="A47" s="4"/>
      <c r="B47" s="4"/>
      <c r="C47" s="6"/>
      <c r="D47" s="29"/>
      <c r="E47" s="1"/>
      <c r="F47" s="5"/>
      <c r="G47" s="5"/>
    </row>
    <row r="48" spans="1:7" x14ac:dyDescent="0.25">
      <c r="A48" s="4"/>
      <c r="B48" s="4"/>
      <c r="C48" s="6"/>
      <c r="D48" s="29"/>
      <c r="E48" s="1"/>
      <c r="F48" s="5"/>
      <c r="G48" s="5"/>
    </row>
    <row r="49" spans="1:7" x14ac:dyDescent="0.25">
      <c r="A49" s="4"/>
      <c r="B49" s="4"/>
      <c r="C49" s="6"/>
      <c r="D49" s="29"/>
      <c r="E49" s="1"/>
      <c r="F49" s="5"/>
      <c r="G49" s="5"/>
    </row>
    <row r="50" spans="1:7" x14ac:dyDescent="0.25">
      <c r="A50" s="4"/>
      <c r="B50" s="4"/>
      <c r="C50" s="6"/>
      <c r="D50" s="29"/>
      <c r="E50" s="1"/>
      <c r="F50" s="5"/>
      <c r="G50" s="5"/>
    </row>
    <row r="51" spans="1:7" x14ac:dyDescent="0.25">
      <c r="A51" s="4"/>
      <c r="B51" s="4"/>
      <c r="C51" s="6"/>
      <c r="D51" s="29"/>
      <c r="E51" s="1"/>
      <c r="F51" s="5"/>
      <c r="G51" s="5"/>
    </row>
    <row r="52" spans="1:7" x14ac:dyDescent="0.25">
      <c r="A52" s="4"/>
      <c r="B52" s="4"/>
      <c r="C52" s="6"/>
      <c r="D52" s="29"/>
      <c r="E52" s="1"/>
      <c r="F52" s="5"/>
      <c r="G52" s="5"/>
    </row>
    <row r="53" spans="1:7" x14ac:dyDescent="0.25">
      <c r="A53" s="4"/>
      <c r="B53" s="4"/>
      <c r="C53" s="6"/>
      <c r="D53" s="29"/>
      <c r="E53" s="1"/>
      <c r="F53" s="5"/>
      <c r="G53" s="5"/>
    </row>
    <row r="54" spans="1:7" x14ac:dyDescent="0.25">
      <c r="A54" s="4"/>
      <c r="B54" s="4"/>
      <c r="C54" s="6"/>
      <c r="D54" s="29"/>
      <c r="E54" s="1"/>
      <c r="F54" s="5"/>
      <c r="G54" s="5"/>
    </row>
    <row r="55" spans="1:7" x14ac:dyDescent="0.25">
      <c r="A55" s="4"/>
      <c r="B55" s="4"/>
      <c r="C55" s="6"/>
      <c r="D55" s="29"/>
      <c r="E55" s="1"/>
      <c r="F55" s="5"/>
      <c r="G55" s="5"/>
    </row>
    <row r="56" spans="1:7" x14ac:dyDescent="0.25">
      <c r="A56" s="4"/>
      <c r="B56" s="4"/>
      <c r="C56" s="6"/>
      <c r="D56" s="29"/>
      <c r="E56" s="1"/>
      <c r="F56" s="5"/>
      <c r="G56" s="5"/>
    </row>
  </sheetData>
  <autoFilter ref="A2:F3" xr:uid="{0FB8BAFB-6373-45D6-9196-15FDFC8B0F63}"/>
  <phoneticPr fontId="39"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0B82-A6DD-4A2A-9C63-99A4A5891070}">
  <sheetPr>
    <tabColor rgb="FF0070C0"/>
  </sheetPr>
  <dimension ref="A1:C8"/>
  <sheetViews>
    <sheetView workbookViewId="0">
      <selection activeCell="C6" sqref="C6"/>
    </sheetView>
  </sheetViews>
  <sheetFormatPr baseColWidth="10" defaultRowHeight="14.5" x14ac:dyDescent="0.35"/>
  <cols>
    <col min="1" max="1" width="10.1796875" style="35" bestFit="1" customWidth="1"/>
    <col min="2" max="2" width="9.1796875" style="35" bestFit="1" customWidth="1"/>
    <col min="3" max="3" width="19" style="38" bestFit="1" customWidth="1"/>
    <col min="4" max="16384" width="10.90625" style="35"/>
  </cols>
  <sheetData>
    <row r="1" spans="1:3" ht="18" customHeight="1" x14ac:dyDescent="0.35">
      <c r="A1" s="34" t="s">
        <v>45</v>
      </c>
      <c r="B1" s="34" t="s">
        <v>46</v>
      </c>
      <c r="C1" s="34" t="s">
        <v>167</v>
      </c>
    </row>
    <row r="2" spans="1:3" ht="18" customHeight="1" x14ac:dyDescent="0.35">
      <c r="A2" s="36" t="s">
        <v>0</v>
      </c>
      <c r="B2" s="36" t="s">
        <v>46</v>
      </c>
      <c r="C2" s="37" t="s">
        <v>168</v>
      </c>
    </row>
    <row r="3" spans="1:3" x14ac:dyDescent="0.35">
      <c r="A3" s="35">
        <v>1</v>
      </c>
      <c r="B3" s="35">
        <v>0</v>
      </c>
      <c r="C3" s="38" t="s">
        <v>169</v>
      </c>
    </row>
    <row r="4" spans="1:3" x14ac:dyDescent="0.35">
      <c r="A4" s="35">
        <v>2</v>
      </c>
      <c r="B4" s="35">
        <v>0</v>
      </c>
      <c r="C4" s="38" t="s">
        <v>169</v>
      </c>
    </row>
    <row r="5" spans="1:3" x14ac:dyDescent="0.35">
      <c r="A5" s="35">
        <v>3</v>
      </c>
      <c r="B5" s="35">
        <v>0</v>
      </c>
      <c r="C5" s="38" t="s">
        <v>169</v>
      </c>
    </row>
    <row r="6" spans="1:3" x14ac:dyDescent="0.35">
      <c r="A6" s="35">
        <v>4</v>
      </c>
      <c r="B6" s="35">
        <v>0</v>
      </c>
      <c r="C6" s="38" t="s">
        <v>169</v>
      </c>
    </row>
    <row r="7" spans="1:3" x14ac:dyDescent="0.35">
      <c r="A7" s="35">
        <v>5</v>
      </c>
      <c r="B7" s="35">
        <v>0</v>
      </c>
      <c r="C7" s="38" t="s">
        <v>169</v>
      </c>
    </row>
    <row r="8" spans="1:3" x14ac:dyDescent="0.35">
      <c r="A8" s="35">
        <v>6</v>
      </c>
      <c r="B8" s="35">
        <v>0</v>
      </c>
      <c r="C8" s="38" t="s">
        <v>169</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26"/>
  <sheetViews>
    <sheetView topLeftCell="A9" workbookViewId="0">
      <selection activeCell="H30" sqref="H30"/>
    </sheetView>
  </sheetViews>
  <sheetFormatPr baseColWidth="10" defaultColWidth="11.453125" defaultRowHeight="12.5" x14ac:dyDescent="0.25"/>
  <cols>
    <col min="2" max="2" width="15.81640625" style="17" bestFit="1" customWidth="1"/>
    <col min="3" max="3" width="33" style="17" bestFit="1" customWidth="1"/>
  </cols>
  <sheetData>
    <row r="2" spans="2:3" ht="13" x14ac:dyDescent="0.3">
      <c r="B2" s="20" t="s">
        <v>58</v>
      </c>
      <c r="C2" s="20" t="s">
        <v>53</v>
      </c>
    </row>
    <row r="3" spans="2:3" x14ac:dyDescent="0.25">
      <c r="B3" s="17" t="s">
        <v>38</v>
      </c>
      <c r="C3" s="17" t="s">
        <v>59</v>
      </c>
    </row>
    <row r="4" spans="2:3" x14ac:dyDescent="0.25">
      <c r="B4" s="17" t="s">
        <v>39</v>
      </c>
      <c r="C4" s="17" t="s">
        <v>60</v>
      </c>
    </row>
    <row r="5" spans="2:3" x14ac:dyDescent="0.25">
      <c r="B5" s="17" t="s">
        <v>44</v>
      </c>
      <c r="C5" s="17" t="s">
        <v>61</v>
      </c>
    </row>
    <row r="6" spans="2:3" x14ac:dyDescent="0.25">
      <c r="B6" s="17" t="s">
        <v>62</v>
      </c>
      <c r="C6" s="17" t="s">
        <v>63</v>
      </c>
    </row>
    <row r="7" spans="2:3" x14ac:dyDescent="0.25">
      <c r="B7" s="17" t="s">
        <v>64</v>
      </c>
      <c r="C7" s="17" t="s">
        <v>65</v>
      </c>
    </row>
    <row r="8" spans="2:3" x14ac:dyDescent="0.25">
      <c r="B8" s="17" t="s">
        <v>66</v>
      </c>
      <c r="C8" s="17" t="s">
        <v>67</v>
      </c>
    </row>
    <row r="9" spans="2:3" x14ac:dyDescent="0.25">
      <c r="B9" s="17" t="s">
        <v>57</v>
      </c>
      <c r="C9" s="17" t="s">
        <v>68</v>
      </c>
    </row>
    <row r="10" spans="2:3" x14ac:dyDescent="0.25">
      <c r="B10" s="17" t="s">
        <v>69</v>
      </c>
      <c r="C10" s="17" t="s">
        <v>70</v>
      </c>
    </row>
    <row r="11" spans="2:3" x14ac:dyDescent="0.25">
      <c r="B11" s="17" t="s">
        <v>71</v>
      </c>
      <c r="C11" s="17" t="s">
        <v>72</v>
      </c>
    </row>
    <row r="12" spans="2:3" x14ac:dyDescent="0.25">
      <c r="B12" s="17" t="s">
        <v>73</v>
      </c>
      <c r="C12" s="17" t="s">
        <v>74</v>
      </c>
    </row>
    <row r="13" spans="2:3" x14ac:dyDescent="0.25">
      <c r="B13" s="17" t="s">
        <v>75</v>
      </c>
      <c r="C13" s="17" t="s">
        <v>76</v>
      </c>
    </row>
    <row r="14" spans="2:3" x14ac:dyDescent="0.25">
      <c r="B14" s="17" t="s">
        <v>77</v>
      </c>
      <c r="C14" s="17" t="s">
        <v>78</v>
      </c>
    </row>
    <row r="15" spans="2:3" x14ac:dyDescent="0.25">
      <c r="B15" s="17" t="s">
        <v>79</v>
      </c>
      <c r="C15" s="17" t="s">
        <v>80</v>
      </c>
    </row>
    <row r="16" spans="2:3" x14ac:dyDescent="0.25">
      <c r="B16" s="17" t="s">
        <v>43</v>
      </c>
      <c r="C16" s="17" t="s">
        <v>81</v>
      </c>
    </row>
    <row r="17" spans="2:3" x14ac:dyDescent="0.25">
      <c r="B17" s="17" t="s">
        <v>82</v>
      </c>
      <c r="C17" s="17" t="s">
        <v>65</v>
      </c>
    </row>
    <row r="18" spans="2:3" x14ac:dyDescent="0.25">
      <c r="B18" s="17" t="s">
        <v>83</v>
      </c>
      <c r="C18" s="17" t="s">
        <v>84</v>
      </c>
    </row>
    <row r="19" spans="2:3" x14ac:dyDescent="0.25">
      <c r="B19" s="17" t="s">
        <v>85</v>
      </c>
      <c r="C19" s="17" t="s">
        <v>86</v>
      </c>
    </row>
    <row r="20" spans="2:3" x14ac:dyDescent="0.25">
      <c r="B20" s="17" t="s">
        <v>87</v>
      </c>
      <c r="C20" s="17" t="s">
        <v>88</v>
      </c>
    </row>
    <row r="21" spans="2:3" x14ac:dyDescent="0.25">
      <c r="B21" s="17" t="s">
        <v>89</v>
      </c>
      <c r="C21" s="17" t="s">
        <v>90</v>
      </c>
    </row>
    <row r="22" spans="2:3" x14ac:dyDescent="0.25">
      <c r="B22" s="17" t="s">
        <v>91</v>
      </c>
      <c r="C22" s="17" t="s">
        <v>92</v>
      </c>
    </row>
    <row r="23" spans="2:3" x14ac:dyDescent="0.25">
      <c r="B23" s="17" t="s">
        <v>93</v>
      </c>
      <c r="C23" s="17" t="s">
        <v>94</v>
      </c>
    </row>
    <row r="24" spans="2:3" x14ac:dyDescent="0.25">
      <c r="B24" s="17" t="s">
        <v>95</v>
      </c>
      <c r="C24" s="17" t="s">
        <v>96</v>
      </c>
    </row>
    <row r="25" spans="2:3" x14ac:dyDescent="0.25">
      <c r="B25" s="17" t="s">
        <v>97</v>
      </c>
      <c r="C25" s="17" t="s">
        <v>98</v>
      </c>
    </row>
    <row r="26" spans="2:3" x14ac:dyDescent="0.25">
      <c r="B26" s="17" t="s">
        <v>99</v>
      </c>
      <c r="C26" s="17" t="s">
        <v>100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526C7-CDB5-4D2D-97DB-4D661E32512D}">
  <dimension ref="A1:B27"/>
  <sheetViews>
    <sheetView workbookViewId="0">
      <selection activeCell="E21" sqref="E21"/>
    </sheetView>
  </sheetViews>
  <sheetFormatPr baseColWidth="10" defaultColWidth="11.453125" defaultRowHeight="12.5" x14ac:dyDescent="0.25"/>
  <cols>
    <col min="1" max="1" width="11.453125" style="17"/>
    <col min="2" max="2" width="90.1796875" style="17" bestFit="1" customWidth="1"/>
  </cols>
  <sheetData>
    <row r="1" spans="1:2" x14ac:dyDescent="0.25">
      <c r="A1" s="22" t="s">
        <v>101</v>
      </c>
      <c r="B1" s="22" t="s">
        <v>102</v>
      </c>
    </row>
    <row r="2" spans="1:2" x14ac:dyDescent="0.25">
      <c r="A2" s="22" t="s">
        <v>103</v>
      </c>
      <c r="B2" s="22" t="s">
        <v>104</v>
      </c>
    </row>
    <row r="3" spans="1:2" x14ac:dyDescent="0.25">
      <c r="A3" s="22" t="s">
        <v>105</v>
      </c>
      <c r="B3" s="22" t="s">
        <v>106</v>
      </c>
    </row>
    <row r="4" spans="1:2" x14ac:dyDescent="0.25">
      <c r="A4" s="22" t="s">
        <v>107</v>
      </c>
      <c r="B4" s="22" t="s">
        <v>108</v>
      </c>
    </row>
    <row r="5" spans="1:2" x14ac:dyDescent="0.25">
      <c r="A5" s="22" t="s">
        <v>109</v>
      </c>
      <c r="B5" s="22" t="s">
        <v>110</v>
      </c>
    </row>
    <row r="6" spans="1:2" x14ac:dyDescent="0.25">
      <c r="A6" s="22" t="s">
        <v>111</v>
      </c>
      <c r="B6" s="22" t="s">
        <v>112</v>
      </c>
    </row>
    <row r="7" spans="1:2" x14ac:dyDescent="0.25">
      <c r="A7" s="22" t="s">
        <v>113</v>
      </c>
      <c r="B7" s="22" t="s">
        <v>114</v>
      </c>
    </row>
    <row r="8" spans="1:2" x14ac:dyDescent="0.25">
      <c r="A8" s="22" t="s">
        <v>115</v>
      </c>
      <c r="B8" s="22" t="s">
        <v>116</v>
      </c>
    </row>
    <row r="9" spans="1:2" x14ac:dyDescent="0.25">
      <c r="A9" s="22" t="s">
        <v>117</v>
      </c>
      <c r="B9" s="22" t="s">
        <v>118</v>
      </c>
    </row>
    <row r="10" spans="1:2" x14ac:dyDescent="0.25">
      <c r="A10" s="22" t="s">
        <v>119</v>
      </c>
      <c r="B10" s="22" t="s">
        <v>120</v>
      </c>
    </row>
    <row r="11" spans="1:2" x14ac:dyDescent="0.25">
      <c r="A11" s="22" t="s">
        <v>121</v>
      </c>
      <c r="B11" s="22" t="s">
        <v>122</v>
      </c>
    </row>
    <row r="12" spans="1:2" x14ac:dyDescent="0.25">
      <c r="A12" s="22" t="s">
        <v>123</v>
      </c>
      <c r="B12" s="22" t="s">
        <v>124</v>
      </c>
    </row>
    <row r="13" spans="1:2" x14ac:dyDescent="0.25">
      <c r="A13" s="22" t="s">
        <v>125</v>
      </c>
      <c r="B13" s="22" t="s">
        <v>126</v>
      </c>
    </row>
    <row r="14" spans="1:2" x14ac:dyDescent="0.25">
      <c r="A14" s="22" t="s">
        <v>127</v>
      </c>
      <c r="B14" s="22" t="s">
        <v>128</v>
      </c>
    </row>
    <row r="15" spans="1:2" x14ac:dyDescent="0.25">
      <c r="A15" s="22" t="s">
        <v>42</v>
      </c>
      <c r="B15" s="22" t="s">
        <v>129</v>
      </c>
    </row>
    <row r="16" spans="1:2" x14ac:dyDescent="0.25">
      <c r="A16" s="22" t="s">
        <v>130</v>
      </c>
      <c r="B16" s="22" t="s">
        <v>131</v>
      </c>
    </row>
    <row r="17" spans="1:2" x14ac:dyDescent="0.25">
      <c r="A17" s="22" t="s">
        <v>132</v>
      </c>
      <c r="B17" s="22" t="s">
        <v>133</v>
      </c>
    </row>
    <row r="18" spans="1:2" x14ac:dyDescent="0.25">
      <c r="A18" s="22" t="s">
        <v>134</v>
      </c>
      <c r="B18" s="22" t="s">
        <v>135</v>
      </c>
    </row>
    <row r="19" spans="1:2" x14ac:dyDescent="0.25">
      <c r="A19" s="22" t="s">
        <v>136</v>
      </c>
      <c r="B19" s="22" t="s">
        <v>137</v>
      </c>
    </row>
    <row r="20" spans="1:2" x14ac:dyDescent="0.25">
      <c r="A20" s="22" t="s">
        <v>138</v>
      </c>
      <c r="B20" s="22" t="s">
        <v>139</v>
      </c>
    </row>
    <row r="21" spans="1:2" x14ac:dyDescent="0.25">
      <c r="A21" s="22" t="s">
        <v>140</v>
      </c>
      <c r="B21" s="22" t="s">
        <v>141</v>
      </c>
    </row>
    <row r="22" spans="1:2" x14ac:dyDescent="0.25">
      <c r="A22" s="22" t="s">
        <v>142</v>
      </c>
      <c r="B22" s="22" t="s">
        <v>143</v>
      </c>
    </row>
    <row r="23" spans="1:2" x14ac:dyDescent="0.25">
      <c r="A23" s="22" t="s">
        <v>144</v>
      </c>
      <c r="B23" s="22" t="s">
        <v>145</v>
      </c>
    </row>
    <row r="24" spans="1:2" x14ac:dyDescent="0.25">
      <c r="A24" s="22" t="s">
        <v>146</v>
      </c>
      <c r="B24" s="22" t="s">
        <v>147</v>
      </c>
    </row>
    <row r="25" spans="1:2" x14ac:dyDescent="0.25">
      <c r="A25" s="22" t="s">
        <v>148</v>
      </c>
      <c r="B25" s="22" t="s">
        <v>149</v>
      </c>
    </row>
    <row r="26" spans="1:2" x14ac:dyDescent="0.25">
      <c r="A26" s="22" t="s">
        <v>150</v>
      </c>
      <c r="B26" s="22" t="s">
        <v>151</v>
      </c>
    </row>
    <row r="27" spans="1:2" x14ac:dyDescent="0.25">
      <c r="A27" s="22" t="s">
        <v>152</v>
      </c>
      <c r="B27" s="22" t="s">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57DB04CDA29D14BA434ED7D647FDF93" ma:contentTypeVersion="16" ma:contentTypeDescription="Crear nuevo documento." ma:contentTypeScope="" ma:versionID="a0da4eb0797f754c86651076abb16152">
  <xsd:schema xmlns:xsd="http://www.w3.org/2001/XMLSchema" xmlns:xs="http://www.w3.org/2001/XMLSchema" xmlns:p="http://schemas.microsoft.com/office/2006/metadata/properties" xmlns:ns2="472d20fc-74ff-4cd4-9c31-f3f10af460fc" xmlns:ns3="6719764d-d36c-4a40-b818-8a1f2b436891" targetNamespace="http://schemas.microsoft.com/office/2006/metadata/properties" ma:root="true" ma:fieldsID="854520d78f46b898874788a7a55c4157" ns2:_="" ns3:_="">
    <xsd:import namespace="472d20fc-74ff-4cd4-9c31-f3f10af460fc"/>
    <xsd:import namespace="6719764d-d36c-4a40-b818-8a1f2b43689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2d20fc-74ff-4cd4-9c31-f3f10af460f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9c26ca45-5f94-4f80-a793-76f0ec51fc1e}" ma:internalName="TaxCatchAll" ma:showField="CatchAllData" ma:web="472d20fc-74ff-4cd4-9c31-f3f10af460f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719764d-d36c-4a40-b818-8a1f2b43689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bc39055-92ee-47ef-b7ae-572e6fbb96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19764d-d36c-4a40-b818-8a1f2b436891">
      <Terms xmlns="http://schemas.microsoft.com/office/infopath/2007/PartnerControls"/>
    </lcf76f155ced4ddcb4097134ff3c332f>
    <TaxCatchAll xmlns="472d20fc-74ff-4cd4-9c31-f3f10af460fc" xsi:nil="true"/>
  </documentManagement>
</p:properties>
</file>

<file path=customXml/itemProps1.xml><?xml version="1.0" encoding="utf-8"?>
<ds:datastoreItem xmlns:ds="http://schemas.openxmlformats.org/officeDocument/2006/customXml" ds:itemID="{59618A5A-F2ED-43CF-8CD2-BADAB1C434CE}"/>
</file>

<file path=customXml/itemProps2.xml><?xml version="1.0" encoding="utf-8"?>
<ds:datastoreItem xmlns:ds="http://schemas.openxmlformats.org/officeDocument/2006/customXml" ds:itemID="{310A805D-6DC9-4BDD-BA05-C89E69CE44A7}"/>
</file>

<file path=customXml/itemProps3.xml><?xml version="1.0" encoding="utf-8"?>
<ds:datastoreItem xmlns:ds="http://schemas.openxmlformats.org/officeDocument/2006/customXml" ds:itemID="{6A831E34-8A30-43BB-8C86-60FAEA4D642B}"/>
</file>

<file path=docMetadata/LabelInfo.xml><?xml version="1.0" encoding="utf-8"?>
<clbl:labelList xmlns:clbl="http://schemas.microsoft.com/office/2020/mipLabelMetadata">
  <clbl:label id="{654623d6-1504-4f22-a146-b7c72637766a}" enabled="0" method="" siteId="{654623d6-1504-4f22-a146-b7c72637766a}" removed="1"/>
  <clbl:label id="{f51161df-65ad-460a-bf59-839fd44bbe8f}" enabled="0" method="" siteId="{f51161df-65ad-460a-bf59-839fd44bbe8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Cabecera Sin RIGV</vt:lpstr>
      <vt:lpstr>Detalle Sin RIGV</vt:lpstr>
      <vt:lpstr>Cabecera RIGV</vt:lpstr>
      <vt:lpstr>Detalle RIGV</vt:lpstr>
      <vt:lpstr>RIGV</vt:lpstr>
      <vt:lpstr>Tipo de DoC</vt:lpstr>
      <vt:lpstr>Tipo de dTX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alejandro.cervantes</dc:creator>
  <cp:keywords/>
  <dc:description/>
  <cp:lastModifiedBy>Katherine Velasquez Borja</cp:lastModifiedBy>
  <cp:revision/>
  <dcterms:created xsi:type="dcterms:W3CDTF">2013-07-30T22:27:54Z</dcterms:created>
  <dcterms:modified xsi:type="dcterms:W3CDTF">2026-07-02T21:55:45Z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0x010100657DB04CDA29D14BA434ED7D647FDF93</vt:lpwstr>
  </property>
</Properties>
</file>